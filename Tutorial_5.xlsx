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na/Desktop/Math208_Tutorial/"/>
    </mc:Choice>
  </mc:AlternateContent>
  <xr:revisionPtr revIDLastSave="0" documentId="8_{0D20EEDA-8978-D844-902C-6D181E75D87C}" xr6:coauthVersionLast="47" xr6:coauthVersionMax="47" xr10:uidLastSave="{00000000-0000-0000-0000-000000000000}"/>
  <bookViews>
    <workbookView xWindow="49860" yWindow="880" windowWidth="30240" windowHeight="17480" tabRatio="718" activeTab="6" xr2:uid="{00000000-000D-0000-FFFF-FFFF00000000}"/>
  </bookViews>
  <sheets>
    <sheet name="Sensitivity Report 1" sheetId="59" r:id="rId1"/>
    <sheet name="Sensitivity Report 2" sheetId="60" r:id="rId2"/>
    <sheet name="4.1" sheetId="21" r:id="rId3"/>
    <sheet name="4.1a sensitivity" sheetId="54" r:id="rId4"/>
    <sheet name="4.1b sensitivity" sheetId="55" r:id="rId5"/>
    <sheet name="4.4" sheetId="56" r:id="rId6"/>
    <sheet name="4.4a sensitivity" sheetId="58" r:id="rId7"/>
    <sheet name="4.4b sensitivity" sheetId="57" r:id="rId8"/>
  </sheets>
  <definedNames>
    <definedName name="sencount" hidden="1">4</definedName>
    <definedName name="solver_adj" localSheetId="2" hidden="1">'4.1'!$J$6:$M$8</definedName>
    <definedName name="solver_adj" localSheetId="5" hidden="1">'4.4'!$B$10:$E$10</definedName>
    <definedName name="solver_cvg" localSheetId="2" hidden="1">0.0001</definedName>
    <definedName name="solver_cvg" localSheetId="5" hidden="1">0.0001</definedName>
    <definedName name="solver_drv" localSheetId="2" hidden="1">1</definedName>
    <definedName name="solver_drv" localSheetId="5" hidden="1">1</definedName>
    <definedName name="solver_eng" localSheetId="2" hidden="1">2</definedName>
    <definedName name="solver_eng" localSheetId="5" hidden="1">2</definedName>
    <definedName name="solver_est" localSheetId="2" hidden="1">1</definedName>
    <definedName name="solver_itr" localSheetId="2" hidden="1">2147483647</definedName>
    <definedName name="solver_itr" localSheetId="5" hidden="1">2147483647</definedName>
    <definedName name="solver_lhs0" localSheetId="2" hidden="1">'4.1'!$N$6:$N$8</definedName>
    <definedName name="solver_lhs1" localSheetId="2" hidden="1">'4.1'!$J$9:$M$9</definedName>
    <definedName name="solver_lhs1" localSheetId="5" hidden="1">'4.4'!$F$18:$F$21</definedName>
    <definedName name="solver_lhs2" localSheetId="2" hidden="1">'4.1'!$N$6:$N$8</definedName>
    <definedName name="solver_lhs2" localSheetId="5" hidden="1">'4.4'!$F$22:$F$23</definedName>
    <definedName name="solver_lhs3" localSheetId="2" hidden="1">'4.1'!$N$6:$N$8</definedName>
    <definedName name="solver_lin" localSheetId="2" hidden="1">1</definedName>
    <definedName name="solver_lin" localSheetId="5" hidden="1">1</definedName>
    <definedName name="solver_mip" localSheetId="2" hidden="1">2147483647</definedName>
    <definedName name="solver_mip" localSheetId="5" hidden="1">2147483647</definedName>
    <definedName name="solver_mni" localSheetId="2" hidden="1">30</definedName>
    <definedName name="solver_mni" localSheetId="5" hidden="1">30</definedName>
    <definedName name="solver_mrt" localSheetId="2" hidden="1">0.075</definedName>
    <definedName name="solver_mrt" localSheetId="5" hidden="1">0.075</definedName>
    <definedName name="solver_msl" localSheetId="2" hidden="1">2</definedName>
    <definedName name="solver_msl" localSheetId="5" hidden="1">2</definedName>
    <definedName name="solver_neg" localSheetId="2" hidden="1">1</definedName>
    <definedName name="solver_neg" localSheetId="5" hidden="1">1</definedName>
    <definedName name="solver_nod" localSheetId="2" hidden="1">2147483647</definedName>
    <definedName name="solver_nod" localSheetId="5" hidden="1">2147483647</definedName>
    <definedName name="solver_ntri" hidden="1">1000</definedName>
    <definedName name="solver_num" localSheetId="2" hidden="1">2</definedName>
    <definedName name="solver_num" localSheetId="5" hidden="1">2</definedName>
    <definedName name="solver_nwt" localSheetId="2" hidden="1">1</definedName>
    <definedName name="solver_opt" localSheetId="2" hidden="1">'4.1'!$J$17</definedName>
    <definedName name="solver_opt" localSheetId="5" hidden="1">'4.4'!$F$14</definedName>
    <definedName name="solver_pre" localSheetId="2" hidden="1">0.000001</definedName>
    <definedName name="solver_pre" localSheetId="5" hidden="1">0.000001</definedName>
    <definedName name="solver_rbv" localSheetId="2" hidden="1">1</definedName>
    <definedName name="solver_rbv" localSheetId="5" hidden="1">1</definedName>
    <definedName name="solver_rel0" localSheetId="2" hidden="1">1</definedName>
    <definedName name="solver_rel1" localSheetId="2" hidden="1">3</definedName>
    <definedName name="solver_rel1" localSheetId="5" hidden="1">1</definedName>
    <definedName name="solver_rel2" localSheetId="2" hidden="1">1</definedName>
    <definedName name="solver_rel2" localSheetId="5" hidden="1">2</definedName>
    <definedName name="solver_rel3" localSheetId="2" hidden="1">1</definedName>
    <definedName name="solver_rhs0" localSheetId="2" hidden="1">'4.1'!$G$6:$G$8</definedName>
    <definedName name="solver_rhs1" localSheetId="2" hidden="1">'4.1'!$C$9:$F$9</definedName>
    <definedName name="solver_rhs1" localSheetId="5" hidden="1">'4.4'!$H$18:$H$21</definedName>
    <definedName name="solver_rhs2" localSheetId="2" hidden="1">'4.1'!$G$6:$G$8</definedName>
    <definedName name="solver_rhs2" localSheetId="5" hidden="1">'4.4'!$H$22:$H$23</definedName>
    <definedName name="solver_rhs3" localSheetId="2" hidden="1">'4.1'!$G$6:$G$8</definedName>
    <definedName name="solver_rlx" localSheetId="2" hidden="1">2</definedName>
    <definedName name="solver_rlx" localSheetId="5" hidden="1">2</definedName>
    <definedName name="solver_rsd" localSheetId="2" hidden="1">0</definedName>
    <definedName name="solver_rsd" localSheetId="5" hidden="1">0</definedName>
    <definedName name="solver_rsmp" hidden="1">2</definedName>
    <definedName name="solver_scl" localSheetId="2" hidden="1">1</definedName>
    <definedName name="solver_scl" localSheetId="5" hidden="1">1</definedName>
    <definedName name="solver_seed" hidden="1">0</definedName>
    <definedName name="solver_sho" localSheetId="2" hidden="1">2</definedName>
    <definedName name="solver_sho" localSheetId="5" hidden="1">2</definedName>
    <definedName name="solver_ssz" localSheetId="2" hidden="1">100</definedName>
    <definedName name="solver_ssz" localSheetId="5" hidden="1">100</definedName>
    <definedName name="solver_tim" localSheetId="2" hidden="1">2147483647</definedName>
    <definedName name="solver_tim" localSheetId="5" hidden="1">2147483647</definedName>
    <definedName name="solver_tol" localSheetId="2" hidden="1">0.01</definedName>
    <definedName name="solver_tol" localSheetId="5" hidden="1">0.01</definedName>
    <definedName name="solver_typ" localSheetId="2" hidden="1">2</definedName>
    <definedName name="solver_typ" localSheetId="5" hidden="1">1</definedName>
    <definedName name="solver_val" localSheetId="2" hidden="1">0</definedName>
    <definedName name="solver_val" localSheetId="5" hidden="1">0</definedName>
    <definedName name="solver_ver" localSheetId="2" hidden="1">2</definedName>
    <definedName name="solver_ver" localSheetId="5" hidden="1">2</definedName>
    <definedName name="zzzz_default_one_way_change" localSheetId="2" hidden="1">'4.1'!$G$6</definedName>
    <definedName name="zzzz_default_one_way_change" localSheetId="5" hidden="1">'4.4'!$H$20</definedName>
    <definedName name="zzzz_default_one_way_delta" localSheetId="2" hidden="1">1000</definedName>
    <definedName name="zzzz_default_one_way_delta" localSheetId="5" hidden="1">100</definedName>
    <definedName name="zzzz_default_one_way_first_value" localSheetId="2" hidden="1">10000</definedName>
    <definedName name="zzzz_default_one_way_first_value" localSheetId="5" hidden="1">1200</definedName>
    <definedName name="zzzz_default_one_way_input_type" localSheetId="2" hidden="1">1</definedName>
    <definedName name="zzzz_default_one_way_input_type" localSheetId="5" hidden="1">1</definedName>
    <definedName name="zzzz_default_one_way_last_value" localSheetId="2" hidden="1">30000</definedName>
    <definedName name="zzzz_default_one_way_last_value" localSheetId="5" hidden="1">2400</definedName>
    <definedName name="zzzz_default_one_way_outputs" localSheetId="2" hidden="1">'4.1'!$J$6:$M$8</definedName>
    <definedName name="zzzz_default_one_way_outputs" localSheetId="5" hidden="1">'4.4'!$B$10:$E$10</definedName>
    <definedName name="zzzz_default_table_type" localSheetId="2" hidden="1">1</definedName>
    <definedName name="zzzz_default_table_type" localSheetId="5" hidden="1">1</definedName>
    <definedName name="zzzz_default_two_way_change1" localSheetId="2" hidden="1">'4.1'!$C$7</definedName>
    <definedName name="zzzz_default_two_way_change2" localSheetId="2" hidden="1">'4.1'!$G$7</definedName>
    <definedName name="zzzz_default_two_way_delta1" localSheetId="2" hidden="1">0.01</definedName>
    <definedName name="zzzz_default_two_way_delta2" localSheetId="2" hidden="1">1000</definedName>
    <definedName name="zzzz_default_two_way_first1" localSheetId="2" hidden="1">0.25</definedName>
    <definedName name="zzzz_default_two_way_first2" localSheetId="2" hidden="1">14000</definedName>
    <definedName name="zzzz_default_two_way_input_type1" localSheetId="2" hidden="1">1</definedName>
    <definedName name="zzzz_default_two_way_input_type2" localSheetId="2" hidden="1">1</definedName>
    <definedName name="zzzz_default_two_way_last1" localSheetId="2" hidden="1">0.4</definedName>
    <definedName name="zzzz_default_two_way_last2" localSheetId="2" hidden="1">24000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56" l="1"/>
  <c r="F20" i="56"/>
  <c r="F21" i="56"/>
  <c r="F22" i="56"/>
  <c r="F23" i="56"/>
  <c r="F18" i="56"/>
  <c r="F12" i="56"/>
  <c r="F13" i="56"/>
  <c r="F14" i="56" l="1"/>
  <c r="M16" i="21"/>
  <c r="L16" i="21"/>
  <c r="K16" i="21"/>
  <c r="J16" i="21"/>
  <c r="M15" i="21"/>
  <c r="L15" i="21"/>
  <c r="K15" i="21"/>
  <c r="J15" i="21"/>
  <c r="M14" i="21"/>
  <c r="L14" i="21"/>
  <c r="K14" i="21"/>
  <c r="J14" i="21"/>
  <c r="J17" i="21" l="1"/>
  <c r="M9" i="21"/>
  <c r="L9" i="21"/>
  <c r="K9" i="21"/>
  <c r="J9" i="21"/>
  <c r="N8" i="21"/>
  <c r="N7" i="21"/>
  <c r="N6" i="21"/>
  <c r="N9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Cedric Chauve</author>
  </authors>
  <commentList>
    <comment ref="A19" authorId="0" shapeId="0" xr:uid="{41870432-96B9-45FB-A758-63F818CA4C8B}">
      <text>
        <r>
          <rPr>
            <b/>
            <sz val="9"/>
            <color rgb="FF000000"/>
            <rFont val="Tahoma"/>
            <family val="2"/>
          </rPr>
          <t>Cedric Chauve: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None shown, all are in the Solver window.</t>
        </r>
      </text>
    </comment>
  </commentList>
</comments>
</file>

<file path=xl/sharedStrings.xml><?xml version="1.0" encoding="utf-8"?>
<sst xmlns="http://schemas.openxmlformats.org/spreadsheetml/2006/main" count="321" uniqueCount="153">
  <si>
    <t>Constraints</t>
  </si>
  <si>
    <t>Parameters</t>
  </si>
  <si>
    <t>Total</t>
  </si>
  <si>
    <t>Decisions</t>
  </si>
  <si>
    <t>Objective</t>
  </si>
  <si>
    <t>Capacity</t>
  </si>
  <si>
    <t>To</t>
  </si>
  <si>
    <t>From</t>
  </si>
  <si>
    <t>Demand</t>
  </si>
  <si>
    <t>Sent</t>
  </si>
  <si>
    <t>Received</t>
  </si>
  <si>
    <t>A</t>
  </si>
  <si>
    <t>B</t>
  </si>
  <si>
    <t>C</t>
  </si>
  <si>
    <t>M</t>
  </si>
  <si>
    <t>P</t>
  </si>
  <si>
    <t>T</t>
  </si>
  <si>
    <t>D</t>
  </si>
  <si>
    <t>Objective: $J$17</t>
  </si>
  <si>
    <t>Obj Change/Unit</t>
  </si>
  <si>
    <t>$J$7</t>
  </si>
  <si>
    <t>$K$7</t>
  </si>
  <si>
    <t>$L$7</t>
  </si>
  <si>
    <t>$M$7</t>
  </si>
  <si>
    <t>$J$6</t>
  </si>
  <si>
    <t>$K$6</t>
  </si>
  <si>
    <t>$L$6</t>
  </si>
  <si>
    <t>$M$6</t>
  </si>
  <si>
    <t>$J$8</t>
  </si>
  <si>
    <t>$K$8</t>
  </si>
  <si>
    <t>$L$8</t>
  </si>
  <si>
    <t>$M$8</t>
  </si>
  <si>
    <t>$C$8</t>
  </si>
  <si>
    <t>Insensitive Zone</t>
  </si>
  <si>
    <t>TA</t>
  </si>
  <si>
    <t>Optimal Cost</t>
  </si>
  <si>
    <t>MA</t>
  </si>
  <si>
    <t>PA</t>
  </si>
  <si>
    <t>Routes:</t>
  </si>
  <si>
    <t>PA Cost</t>
  </si>
  <si>
    <t>$G$6</t>
  </si>
  <si>
    <t>Cost</t>
  </si>
  <si>
    <t>Minneapolis Capacity</t>
  </si>
  <si>
    <t>Routes</t>
  </si>
  <si>
    <t>MB</t>
  </si>
  <si>
    <t>MC</t>
  </si>
  <si>
    <t>MD</t>
  </si>
  <si>
    <t>=</t>
  </si>
  <si>
    <t>Demand (Battery)</t>
  </si>
  <si>
    <t>Demand (Electronics)</t>
  </si>
  <si>
    <t>&lt;=</t>
  </si>
  <si>
    <t>Subcontractor Purchase</t>
  </si>
  <si>
    <t>Shipping Hours</t>
  </si>
  <si>
    <t>Assembly Hours</t>
  </si>
  <si>
    <t>Fabrication Hours</t>
  </si>
  <si>
    <t>RHS</t>
  </si>
  <si>
    <t>Battery - Buy</t>
  </si>
  <si>
    <t>Electronics - Buy</t>
  </si>
  <si>
    <t>Battery - Make</t>
  </si>
  <si>
    <t>Electronics - Make</t>
  </si>
  <si>
    <t>Constraits</t>
  </si>
  <si>
    <t>Profit</t>
  </si>
  <si>
    <t>Total Costs</t>
  </si>
  <si>
    <t>Total Revenue</t>
  </si>
  <si>
    <t>Unit</t>
  </si>
  <si>
    <t>Battery (buy)</t>
  </si>
  <si>
    <t>Electronic (buy)</t>
  </si>
  <si>
    <t>Battery (make)</t>
  </si>
  <si>
    <t>Electronic (make)</t>
  </si>
  <si>
    <t>Decision Variables</t>
  </si>
  <si>
    <t>Retail Price</t>
  </si>
  <si>
    <t>Cost/Unit</t>
  </si>
  <si>
    <t>Hours/Unit (Battery - Buy)</t>
  </si>
  <si>
    <t>Hours/Unit (Electronics - Buy)</t>
  </si>
  <si>
    <t>Hours/Unit (Battery - Make)</t>
  </si>
  <si>
    <t>Hours/Unit (Electronics - Make)</t>
  </si>
  <si>
    <t>Problem Parameters</t>
  </si>
  <si>
    <t>Question 2.8 Page 65 of Text</t>
  </si>
  <si>
    <t>$H$20</t>
  </si>
  <si>
    <t>Objective: $F$14</t>
  </si>
  <si>
    <t>$B$10</t>
  </si>
  <si>
    <t>$C$10</t>
  </si>
  <si>
    <t>$D$10</t>
  </si>
  <si>
    <t>$E$10</t>
  </si>
  <si>
    <t>Insensitivity Zone</t>
  </si>
  <si>
    <t>Shipping Capacity</t>
  </si>
  <si>
    <t>Microsoft Excel 16.69 Sensitivity Report</t>
  </si>
  <si>
    <t>Worksheet: [tutorial 2023-02-14.xlsx]4.4</t>
  </si>
  <si>
    <t>Report Created: 2023-02-12 4:55:19 PM</t>
  </si>
  <si>
    <t>Variable Cells</t>
  </si>
  <si>
    <t>Cell</t>
  </si>
  <si>
    <t>Name</t>
  </si>
  <si>
    <t>Final</t>
  </si>
  <si>
    <t>Value</t>
  </si>
  <si>
    <t>Reduced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</si>
  <si>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</si>
  <si>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</si>
  <si>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</si>
  <si>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</si>
  <si>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</si>
  <si>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</si>
  <si>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</si>
  <si>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</si>
  <si>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Unit Electronic (make)</t>
  </si>
  <si>
    <t>Unit Battery (make)</t>
  </si>
  <si>
    <t>Unit Electronic (buy)</t>
  </si>
  <si>
    <t>Unit Battery (buy)</t>
  </si>
  <si>
    <t>$F$18</t>
  </si>
  <si>
    <t>Fabrication Hours Total</t>
  </si>
  <si>
    <t>$F$19</t>
  </si>
  <si>
    <t>Assembly Hours Total</t>
  </si>
  <si>
    <t>$F$20</t>
  </si>
  <si>
    <t>Shipping Hours Total</t>
  </si>
  <si>
    <t>$F$21</t>
  </si>
  <si>
    <t>Subcontractor Purchase Total</t>
  </si>
  <si>
    <t>$F$22</t>
  </si>
  <si>
    <t>Demand (Electronics) Total</t>
  </si>
  <si>
    <t>$F$23</t>
  </si>
  <si>
    <t>Demand (Battery) Total</t>
  </si>
  <si>
    <t>Problem 4.1</t>
  </si>
  <si>
    <t>We can increase fabrication hours by 500, which will increase by 18*500 = 9000 dollars in profit</t>
  </si>
  <si>
    <t>Assembly, Shiping, Subcontractor all have a shadow price of 0, suggesting that increasing the constraint will not increase profits</t>
  </si>
  <si>
    <t>Microsoft Excel 16.93 Sensitivity Report</t>
  </si>
  <si>
    <t>Worksheet: [tutorial 2023-02-14.xlsx]4.1</t>
  </si>
  <si>
    <t>Report Created: 2025-01-30 6:17:16 PM</t>
  </si>
  <si>
    <t>M A</t>
  </si>
  <si>
    <t>M B</t>
  </si>
  <si>
    <t>M C</t>
  </si>
  <si>
    <t>M D</t>
  </si>
  <si>
    <t>P A</t>
  </si>
  <si>
    <t>P B</t>
  </si>
  <si>
    <t>P C</t>
  </si>
  <si>
    <t>P D</t>
  </si>
  <si>
    <t>T A</t>
  </si>
  <si>
    <t>T B</t>
  </si>
  <si>
    <t>T C</t>
  </si>
  <si>
    <t>T D</t>
  </si>
  <si>
    <t>$J$9</t>
  </si>
  <si>
    <t>Received A</t>
  </si>
  <si>
    <t>$K$9</t>
  </si>
  <si>
    <t>Received B</t>
  </si>
  <si>
    <t>$L$9</t>
  </si>
  <si>
    <t>Received C</t>
  </si>
  <si>
    <t>$M$9</t>
  </si>
  <si>
    <t>Received D</t>
  </si>
  <si>
    <t>$N$6</t>
  </si>
  <si>
    <t>M Sent</t>
  </si>
  <si>
    <t>$N$7</t>
  </si>
  <si>
    <t>P Sent</t>
  </si>
  <si>
    <t>$N$8</t>
  </si>
  <si>
    <t>T Sent</t>
  </si>
  <si>
    <t>Report Created: 2025-01-30 6:21:19 PM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</si>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</sst>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2" x14ac:knownFonts="1">
    <font>
      <sz val="9"/>
      <name val="Genev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Geneva"/>
      <family val="2"/>
    </font>
    <font>
      <b/>
      <sz val="9"/>
      <name val="Geneva"/>
      <family val="2"/>
    </font>
    <font>
      <b/>
      <sz val="12"/>
      <color theme="1"/>
      <name val="Calibri"/>
      <family val="2"/>
      <scheme val="minor"/>
    </font>
    <font>
      <b/>
      <sz val="9"/>
      <color indexed="18"/>
      <name val="Genev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5" fontId="4" fillId="0" borderId="0" xfId="1" applyNumberFormat="1" applyFont="1"/>
    <xf numFmtId="165" fontId="5" fillId="0" borderId="0" xfId="1" applyNumberFormat="1" applyFont="1" applyAlignment="1">
      <alignment horizontal="center"/>
    </xf>
    <xf numFmtId="165" fontId="4" fillId="0" borderId="1" xfId="1" applyNumberFormat="1" applyFont="1" applyBorder="1"/>
    <xf numFmtId="165" fontId="4" fillId="0" borderId="0" xfId="1" applyNumberFormat="1" applyFont="1" applyBorder="1"/>
    <xf numFmtId="1" fontId="4" fillId="2" borderId="1" xfId="1" applyNumberFormat="1" applyFont="1" applyFill="1" applyBorder="1"/>
    <xf numFmtId="2" fontId="4" fillId="0" borderId="1" xfId="0" applyNumberFormat="1" applyFont="1" applyBorder="1"/>
    <xf numFmtId="37" fontId="4" fillId="3" borderId="1" xfId="0" applyNumberFormat="1" applyFont="1" applyFill="1" applyBorder="1"/>
    <xf numFmtId="0" fontId="7" fillId="0" borderId="0" xfId="0" applyFont="1"/>
    <xf numFmtId="0" fontId="4" fillId="0" borderId="0" xfId="0" applyFont="1" applyAlignment="1">
      <alignment horizontal="right"/>
    </xf>
    <xf numFmtId="37" fontId="4" fillId="0" borderId="0" xfId="0" applyNumberFormat="1" applyFont="1"/>
    <xf numFmtId="2" fontId="4" fillId="0" borderId="0" xfId="0" applyNumberFormat="1" applyFont="1"/>
    <xf numFmtId="37" fontId="0" fillId="0" borderId="0" xfId="0" applyNumberFormat="1"/>
    <xf numFmtId="1" fontId="0" fillId="0" borderId="0" xfId="0" applyNumberFormat="1"/>
    <xf numFmtId="165" fontId="0" fillId="0" borderId="0" xfId="0" applyNumberFormat="1"/>
    <xf numFmtId="1" fontId="0" fillId="4" borderId="0" xfId="0" applyNumberFormat="1" applyFill="1"/>
    <xf numFmtId="0" fontId="6" fillId="0" borderId="0" xfId="0" applyFont="1"/>
    <xf numFmtId="0" fontId="7" fillId="5" borderId="0" xfId="0" applyFont="1" applyFill="1" applyAlignment="1">
      <alignment horizontal="center"/>
    </xf>
    <xf numFmtId="2" fontId="0" fillId="4" borderId="0" xfId="0" applyNumberFormat="1" applyFill="1"/>
    <xf numFmtId="37" fontId="0" fillId="4" borderId="0" xfId="0" applyNumberFormat="1" applyFill="1"/>
    <xf numFmtId="0" fontId="2" fillId="0" borderId="0" xfId="2"/>
    <xf numFmtId="0" fontId="2" fillId="0" borderId="0" xfId="2" quotePrefix="1"/>
    <xf numFmtId="0" fontId="2" fillId="0" borderId="0" xfId="2" applyAlignment="1">
      <alignment horizontal="right"/>
    </xf>
    <xf numFmtId="0" fontId="8" fillId="0" borderId="0" xfId="2" applyFont="1"/>
    <xf numFmtId="0" fontId="8" fillId="0" borderId="0" xfId="2" applyFont="1" applyAlignment="1">
      <alignment horizontal="left"/>
    </xf>
    <xf numFmtId="0" fontId="0" fillId="4" borderId="0" xfId="0" applyFill="1"/>
    <xf numFmtId="0" fontId="0" fillId="0" borderId="4" xfId="0" applyBorder="1"/>
    <xf numFmtId="0" fontId="0" fillId="0" borderId="5" xfId="0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6" borderId="0" xfId="0" applyFont="1" applyFill="1"/>
    <xf numFmtId="0" fontId="0" fillId="0" borderId="4" xfId="0" applyFill="1" applyBorder="1" applyAlignment="1"/>
    <xf numFmtId="0" fontId="0" fillId="0" borderId="5" xfId="0" applyFill="1" applyBorder="1" applyAlignment="1"/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2" fontId="0" fillId="7" borderId="0" xfId="0" applyNumberFormat="1" applyFill="1"/>
    <xf numFmtId="37" fontId="0" fillId="7" borderId="0" xfId="0" applyNumberFormat="1" applyFill="1"/>
    <xf numFmtId="1" fontId="0" fillId="7" borderId="0" xfId="0" applyNumberFormat="1" applyFill="1"/>
    <xf numFmtId="2" fontId="0" fillId="8" borderId="0" xfId="0" applyNumberFormat="1" applyFill="1"/>
    <xf numFmtId="37" fontId="0" fillId="8" borderId="0" xfId="0" applyNumberFormat="1" applyFill="1"/>
    <xf numFmtId="0" fontId="0" fillId="8" borderId="0" xfId="0" applyFill="1"/>
    <xf numFmtId="1" fontId="0" fillId="8" borderId="0" xfId="0" applyNumberFormat="1" applyFill="1"/>
    <xf numFmtId="165" fontId="0" fillId="9" borderId="0" xfId="0" applyNumberFormat="1" applyFill="1"/>
    <xf numFmtId="37" fontId="0" fillId="9" borderId="0" xfId="0" applyNumberFormat="1" applyFill="1"/>
    <xf numFmtId="0" fontId="0" fillId="9" borderId="0" xfId="0" applyFill="1"/>
    <xf numFmtId="1" fontId="0" fillId="9" borderId="0" xfId="0" applyNumberFormat="1" applyFill="1"/>
    <xf numFmtId="39" fontId="0" fillId="9" borderId="0" xfId="0" applyNumberFormat="1" applyFill="1"/>
    <xf numFmtId="165" fontId="0" fillId="10" borderId="0" xfId="0" applyNumberFormat="1" applyFill="1"/>
    <xf numFmtId="37" fontId="0" fillId="10" borderId="0" xfId="0" applyNumberFormat="1" applyFill="1"/>
    <xf numFmtId="39" fontId="0" fillId="10" borderId="0" xfId="0" applyNumberFormat="1" applyFill="1"/>
    <xf numFmtId="1" fontId="0" fillId="10" borderId="0" xfId="0" applyNumberFormat="1" applyFill="1"/>
    <xf numFmtId="165" fontId="0" fillId="3" borderId="0" xfId="0" applyNumberFormat="1" applyFill="1"/>
    <xf numFmtId="37" fontId="0" fillId="3" borderId="0" xfId="0" applyNumberFormat="1" applyFill="1"/>
    <xf numFmtId="39" fontId="0" fillId="3" borderId="0" xfId="0" applyNumberFormat="1" applyFill="1"/>
    <xf numFmtId="1" fontId="0" fillId="3" borderId="0" xfId="0" applyNumberFormat="1" applyFill="1"/>
    <xf numFmtId="165" fontId="0" fillId="11" borderId="0" xfId="0" applyNumberFormat="1" applyFill="1"/>
    <xf numFmtId="37" fontId="0" fillId="11" borderId="0" xfId="0" applyNumberFormat="1" applyFill="1"/>
    <xf numFmtId="39" fontId="0" fillId="11" borderId="0" xfId="0" applyNumberFormat="1" applyFill="1"/>
    <xf numFmtId="1" fontId="0" fillId="11" borderId="0" xfId="0" applyNumberFormat="1" applyFill="1"/>
    <xf numFmtId="165" fontId="0" fillId="12" borderId="0" xfId="0" applyNumberFormat="1" applyFill="1"/>
    <xf numFmtId="37" fontId="0" fillId="12" borderId="0" xfId="0" applyNumberFormat="1" applyFill="1"/>
    <xf numFmtId="39" fontId="0" fillId="12" borderId="0" xfId="0" applyNumberFormat="1" applyFill="1"/>
    <xf numFmtId="1" fontId="0" fillId="12" borderId="0" xfId="0" applyNumberFormat="1" applyFill="1"/>
    <xf numFmtId="0" fontId="1" fillId="0" borderId="0" xfId="2" applyFont="1"/>
  </cellXfs>
  <cellStyles count="3">
    <cellStyle name="Comma" xfId="1" builtinId="3"/>
    <cellStyle name="Normal" xfId="0" builtinId="0"/>
    <cellStyle name="Normal 2" xfId="2" xr:uid="{ADC1FABC-3004-5B4E-90D2-A3B370E10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'4.1a sensitivity'!$B$1</c:f>
              <c:strCache>
                <c:ptCount val="1"/>
                <c:pt idx="0">
                  <c:v>Objective: $J$17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'4.1a sensitivity'!$A$2:$A$7</c:f>
              <c:numCache>
                <c:formatCode>0.00</c:formatCode>
                <c:ptCount val="6"/>
                <c:pt idx="0">
                  <c:v>0.6</c:v>
                </c:pt>
                <c:pt idx="1">
                  <c:v>0.61</c:v>
                </c:pt>
                <c:pt idx="2">
                  <c:v>0.62</c:v>
                </c:pt>
                <c:pt idx="3">
                  <c:v>0.63</c:v>
                </c:pt>
                <c:pt idx="4">
                  <c:v>0.64</c:v>
                </c:pt>
                <c:pt idx="5">
                  <c:v>0.65</c:v>
                </c:pt>
              </c:numCache>
            </c:numRef>
          </c:xVal>
          <c:yVal>
            <c:numRef>
              <c:f>'4.1a sensitivity'!$B$2:$B$7</c:f>
              <c:numCache>
                <c:formatCode>#,##0_);\(#,##0\)</c:formatCode>
                <c:ptCount val="6"/>
                <c:pt idx="0">
                  <c:v>13620</c:v>
                </c:pt>
                <c:pt idx="1">
                  <c:v>13670</c:v>
                </c:pt>
                <c:pt idx="2">
                  <c:v>13720</c:v>
                </c:pt>
                <c:pt idx="3">
                  <c:v>13770</c:v>
                </c:pt>
                <c:pt idx="4">
                  <c:v>13800</c:v>
                </c:pt>
                <c:pt idx="5">
                  <c:v>13830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08-D44C-A528-573101EA5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19999"/>
        <c:axId val="673217135"/>
      </c:scatterChart>
      <c:valAx>
        <c:axId val="673719999"/>
        <c:scaling>
          <c:orientation val="minMax"/>
          <c:max val="0.65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17135"/>
        <c:crosses val="autoZero"/>
        <c:crossBetween val="midCat"/>
      </c:valAx>
      <c:valAx>
        <c:axId val="673217135"/>
        <c:scaling>
          <c:orientation val="minMax"/>
          <c:max val="13830"/>
          <c:min val="136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1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'4.1b sensitivity'!$B$1</c:f>
              <c:strCache>
                <c:ptCount val="1"/>
                <c:pt idx="0">
                  <c:v>Objective: $J$17</c:v>
                </c:pt>
              </c:strCache>
            </c:strRef>
          </c:tx>
          <c:xVal>
            <c:numRef>
              <c:f>'4.1b sensitivity'!$A$2:$A$22</c:f>
              <c:numCache>
                <c:formatCode>_(* #,##0_);_(* \(#,##0\);_(* "-"??_);_(@_)</c:formatCode>
                <c:ptCount val="21"/>
                <c:pt idx="0">
                  <c:v>10000</c:v>
                </c:pt>
                <c:pt idx="1">
                  <c:v>11000</c:v>
                </c:pt>
                <c:pt idx="2">
                  <c:v>12000</c:v>
                </c:pt>
                <c:pt idx="3">
                  <c:v>13000</c:v>
                </c:pt>
                <c:pt idx="4">
                  <c:v>14000</c:v>
                </c:pt>
                <c:pt idx="5">
                  <c:v>15000</c:v>
                </c:pt>
                <c:pt idx="6">
                  <c:v>16000</c:v>
                </c:pt>
                <c:pt idx="7">
                  <c:v>17000</c:v>
                </c:pt>
                <c:pt idx="8">
                  <c:v>18000</c:v>
                </c:pt>
                <c:pt idx="9">
                  <c:v>19000</c:v>
                </c:pt>
                <c:pt idx="10">
                  <c:v>20000</c:v>
                </c:pt>
                <c:pt idx="11">
                  <c:v>21000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28000</c:v>
                </c:pt>
                <c:pt idx="19">
                  <c:v>29000</c:v>
                </c:pt>
                <c:pt idx="20">
                  <c:v>30000</c:v>
                </c:pt>
              </c:numCache>
            </c:numRef>
          </c:xVal>
          <c:yVal>
            <c:numRef>
              <c:f>'4.1b sensitivity'!$B$2:$B$22</c:f>
              <c:numCache>
                <c:formatCode>#,##0_);\(#,##0\)</c:formatCode>
                <c:ptCount val="21"/>
                <c:pt idx="0">
                  <c:v>13830</c:v>
                </c:pt>
                <c:pt idx="1">
                  <c:v>13500</c:v>
                </c:pt>
                <c:pt idx="2">
                  <c:v>13170</c:v>
                </c:pt>
                <c:pt idx="3">
                  <c:v>13120</c:v>
                </c:pt>
                <c:pt idx="4">
                  <c:v>13070</c:v>
                </c:pt>
                <c:pt idx="5">
                  <c:v>13020</c:v>
                </c:pt>
                <c:pt idx="6">
                  <c:v>13000</c:v>
                </c:pt>
                <c:pt idx="7">
                  <c:v>12980</c:v>
                </c:pt>
                <c:pt idx="8">
                  <c:v>12960</c:v>
                </c:pt>
                <c:pt idx="9">
                  <c:v>12940</c:v>
                </c:pt>
                <c:pt idx="10">
                  <c:v>12920</c:v>
                </c:pt>
                <c:pt idx="11">
                  <c:v>12900</c:v>
                </c:pt>
                <c:pt idx="12">
                  <c:v>12880</c:v>
                </c:pt>
                <c:pt idx="13">
                  <c:v>12860</c:v>
                </c:pt>
                <c:pt idx="14">
                  <c:v>12840</c:v>
                </c:pt>
                <c:pt idx="15">
                  <c:v>12840</c:v>
                </c:pt>
                <c:pt idx="16">
                  <c:v>12840</c:v>
                </c:pt>
                <c:pt idx="17">
                  <c:v>12840</c:v>
                </c:pt>
                <c:pt idx="18">
                  <c:v>12840</c:v>
                </c:pt>
                <c:pt idx="19">
                  <c:v>12840</c:v>
                </c:pt>
                <c:pt idx="20">
                  <c:v>13830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6D3-3A49-8E88-BE26B8EE0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859823"/>
        <c:axId val="1422892000"/>
      </c:scatterChart>
      <c:valAx>
        <c:axId val="1352859823"/>
        <c:scaling>
          <c:orientation val="minMax"/>
          <c:max val="30000"/>
          <c:min val="10000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crossAx val="1422892000"/>
        <c:crosses val="autoZero"/>
        <c:crossBetween val="midCat"/>
      </c:valAx>
      <c:valAx>
        <c:axId val="1422892000"/>
        <c:scaling>
          <c:orientation val="minMax"/>
          <c:max val="13830"/>
          <c:min val="12840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crossAx val="135285982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'4.4b sensitivity'!$B$1</c:f>
              <c:strCache>
                <c:ptCount val="1"/>
                <c:pt idx="0">
                  <c:v>Objective: $F$14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'4.4b sensitivity'!$A$2:$A$14</c:f>
              <c:numCache>
                <c:formatCode>General</c:formatCode>
                <c:ptCount val="13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  <c:pt idx="8">
                  <c:v>2000</c:v>
                </c:pt>
                <c:pt idx="9">
                  <c:v>2100</c:v>
                </c:pt>
                <c:pt idx="10">
                  <c:v>2200</c:v>
                </c:pt>
                <c:pt idx="11">
                  <c:v>2300</c:v>
                </c:pt>
                <c:pt idx="12">
                  <c:v>2400</c:v>
                </c:pt>
              </c:numCache>
            </c:numRef>
          </c:xVal>
          <c:yVal>
            <c:numRef>
              <c:f>'4.4b sensitivity'!$B$2:$B$14</c:f>
              <c:numCache>
                <c:formatCode>General</c:formatCode>
                <c:ptCount val="13"/>
                <c:pt idx="0">
                  <c:v>263200</c:v>
                </c:pt>
                <c:pt idx="1">
                  <c:v>268800</c:v>
                </c:pt>
                <c:pt idx="2">
                  <c:v>274400</c:v>
                </c:pt>
                <c:pt idx="3">
                  <c:v>280000</c:v>
                </c:pt>
                <c:pt idx="4">
                  <c:v>282700</c:v>
                </c:pt>
                <c:pt idx="5">
                  <c:v>285400</c:v>
                </c:pt>
                <c:pt idx="6">
                  <c:v>288100</c:v>
                </c:pt>
                <c:pt idx="7">
                  <c:v>290800</c:v>
                </c:pt>
                <c:pt idx="8">
                  <c:v>293500</c:v>
                </c:pt>
                <c:pt idx="9">
                  <c:v>296200</c:v>
                </c:pt>
                <c:pt idx="10">
                  <c:v>298000</c:v>
                </c:pt>
                <c:pt idx="11">
                  <c:v>298000</c:v>
                </c:pt>
                <c:pt idx="12">
                  <c:v>298000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9E-514B-B8F0-A58ED7BAC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975375"/>
        <c:axId val="686141183"/>
      </c:scatterChart>
      <c:valAx>
        <c:axId val="1792975375"/>
        <c:scaling>
          <c:orientation val="minMax"/>
          <c:max val="24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41183"/>
        <c:crosses val="autoZero"/>
        <c:crossBetween val="midCat"/>
      </c:valAx>
      <c:valAx>
        <c:axId val="686141183"/>
        <c:scaling>
          <c:orientation val="minMax"/>
          <c:max val="298000"/>
          <c:min val="263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7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132080</xdr:colOff>
      <xdr:row>14</xdr:row>
      <xdr:rowOff>20320</xdr:rowOff>
    </xdr:from>
    <xdr:to>
      <xdr:col>15</xdr:col>
      <xdr:colOff>243840</xdr:colOff>
      <xdr:row>33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68C00-DA0B-F62C-C79B-62CEED409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C443A-FEC8-BCF6-D038-7DA0BF1BD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711200</xdr:colOff>
      <xdr:row>1</xdr:row>
      <xdr:rowOff>101600</xdr:rowOff>
    </xdr:from>
    <xdr:to>
      <xdr:col>18</xdr:col>
      <xdr:colOff>711200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75EA5-39DA-36EA-2CC7-C0668B29A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D241-9C25-DF44-AB73-E269718E6EA4}">
  <dimension ref="A1:H31"/>
  <sheetViews>
    <sheetView showGridLines="0" topLeftCell="A18" zoomScale="248" workbookViewId="0">
      <selection sqref="A1:A3"/>
    </sheetView>
  </sheetViews>
  <sheetFormatPr baseColWidth="10" defaultRowHeight="13" x14ac:dyDescent="0.2"/>
  <cols>
    <col min="1" max="1" width="2.33203125" customWidth="1"/>
    <col min="2" max="2" width="5.33203125" bestFit="1" customWidth="1"/>
    <col min="3" max="3" width="9" bestFit="1" customWidth="1"/>
    <col min="4" max="4" width="6.1640625" bestFit="1" customWidth="1"/>
    <col min="5" max="5" width="7.5" bestFit="1" customWidth="1"/>
    <col min="6" max="6" width="9.1640625" bestFit="1" customWidth="1"/>
    <col min="7" max="8" width="8.1640625" bestFit="1" customWidth="1"/>
  </cols>
  <sheetData>
    <row r="1" spans="1:8" x14ac:dyDescent="0.2">
      <c r="A1" s="13" t="s">
        <v>122</v>
      </c>
    </row>
    <row r="2" spans="1:8" x14ac:dyDescent="0.2">
      <c r="A2" s="13" t="s">
        <v>123</v>
      </c>
    </row>
    <row r="3" spans="1:8" x14ac:dyDescent="0.2">
      <c r="A3" s="13" t="s">
        <v>124</v>
      </c>
    </row>
    <row r="6" spans="1:8" ht="14" thickBot="1" x14ac:dyDescent="0.25">
      <c r="A6" t="s">
        <v>89</v>
      </c>
    </row>
    <row r="7" spans="1:8" x14ac:dyDescent="0.2">
      <c r="B7" s="38"/>
      <c r="C7" s="38"/>
      <c r="D7" s="38" t="s">
        <v>92</v>
      </c>
      <c r="E7" s="38" t="s">
        <v>94</v>
      </c>
      <c r="F7" s="38" t="s">
        <v>4</v>
      </c>
      <c r="G7" s="38" t="s">
        <v>96</v>
      </c>
      <c r="H7" s="38" t="s">
        <v>96</v>
      </c>
    </row>
    <row r="8" spans="1:8" ht="14" thickBot="1" x14ac:dyDescent="0.25">
      <c r="B8" s="39" t="s">
        <v>90</v>
      </c>
      <c r="C8" s="39" t="s">
        <v>91</v>
      </c>
      <c r="D8" s="39" t="s">
        <v>93</v>
      </c>
      <c r="E8" s="39" t="s">
        <v>41</v>
      </c>
      <c r="F8" s="39" t="s">
        <v>95</v>
      </c>
      <c r="G8" s="39" t="s">
        <v>97</v>
      </c>
      <c r="H8" s="39" t="s">
        <v>98</v>
      </c>
    </row>
    <row r="9" spans="1:8" x14ac:dyDescent="0.2">
      <c r="B9" s="36" t="s">
        <v>24</v>
      </c>
      <c r="C9" s="36" t="s">
        <v>125</v>
      </c>
      <c r="D9" s="36">
        <v>0</v>
      </c>
      <c r="E9" s="36">
        <v>0.27999999999999992</v>
      </c>
      <c r="F9" s="36">
        <v>0.6</v>
      </c>
      <c r="G9" s="36">
        <v>1E+30</v>
      </c>
      <c r="H9" s="36">
        <v>0.27999999999999992</v>
      </c>
    </row>
    <row r="10" spans="1:8" x14ac:dyDescent="0.2">
      <c r="B10" s="36" t="s">
        <v>25</v>
      </c>
      <c r="C10" s="36" t="s">
        <v>126</v>
      </c>
      <c r="D10" s="36">
        <v>0</v>
      </c>
      <c r="E10" s="36">
        <v>0.30000000000000016</v>
      </c>
      <c r="F10" s="36">
        <v>0.56000000000000016</v>
      </c>
      <c r="G10" s="36">
        <v>1E+30</v>
      </c>
      <c r="H10" s="36">
        <v>0.30000000000000016</v>
      </c>
    </row>
    <row r="11" spans="1:8" x14ac:dyDescent="0.2">
      <c r="B11" s="36" t="s">
        <v>26</v>
      </c>
      <c r="C11" s="36" t="s">
        <v>127</v>
      </c>
      <c r="D11" s="36">
        <v>10000</v>
      </c>
      <c r="E11" s="36">
        <v>0</v>
      </c>
      <c r="F11" s="36">
        <v>0.21999999999999997</v>
      </c>
      <c r="G11" s="36">
        <v>0.27999999999999992</v>
      </c>
      <c r="H11" s="36">
        <v>1E+30</v>
      </c>
    </row>
    <row r="12" spans="1:8" x14ac:dyDescent="0.2">
      <c r="B12" s="36" t="s">
        <v>27</v>
      </c>
      <c r="C12" s="36" t="s">
        <v>128</v>
      </c>
      <c r="D12" s="36">
        <v>0</v>
      </c>
      <c r="E12" s="36">
        <v>0.31000000000000005</v>
      </c>
      <c r="F12" s="36">
        <v>0.40000000000000013</v>
      </c>
      <c r="G12" s="36">
        <v>1E+30</v>
      </c>
      <c r="H12" s="36">
        <v>0.31000000000000005</v>
      </c>
    </row>
    <row r="13" spans="1:8" x14ac:dyDescent="0.2">
      <c r="B13" s="36" t="s">
        <v>20</v>
      </c>
      <c r="C13" s="36" t="s">
        <v>129</v>
      </c>
      <c r="D13" s="36">
        <v>5000</v>
      </c>
      <c r="E13" s="36">
        <v>0</v>
      </c>
      <c r="F13" s="36">
        <v>0.35999999999999988</v>
      </c>
      <c r="G13" s="36">
        <v>2.0000000000000018E-2</v>
      </c>
      <c r="H13" s="36">
        <v>9.0000000000000302E-2</v>
      </c>
    </row>
    <row r="14" spans="1:8" x14ac:dyDescent="0.2">
      <c r="B14" s="36" t="s">
        <v>21</v>
      </c>
      <c r="C14" s="36" t="s">
        <v>130</v>
      </c>
      <c r="D14" s="36">
        <v>10000</v>
      </c>
      <c r="E14" s="36">
        <v>0</v>
      </c>
      <c r="F14" s="36">
        <v>0.29999999999999982</v>
      </c>
      <c r="G14" s="36">
        <v>9.0000000000000302E-2</v>
      </c>
      <c r="H14" s="36">
        <v>0.58999999999999986</v>
      </c>
    </row>
    <row r="15" spans="1:8" x14ac:dyDescent="0.2">
      <c r="B15" s="36" t="s">
        <v>22</v>
      </c>
      <c r="C15" s="36" t="s">
        <v>131</v>
      </c>
      <c r="D15" s="36">
        <v>0</v>
      </c>
      <c r="E15" s="36">
        <v>2.0000000000000018E-2</v>
      </c>
      <c r="F15" s="36">
        <v>0.2799999999999998</v>
      </c>
      <c r="G15" s="36">
        <v>1E+30</v>
      </c>
      <c r="H15" s="36">
        <v>2.0000000000000018E-2</v>
      </c>
    </row>
    <row r="16" spans="1:8" x14ac:dyDescent="0.2">
      <c r="B16" s="36" t="s">
        <v>23</v>
      </c>
      <c r="C16" s="36" t="s">
        <v>132</v>
      </c>
      <c r="D16" s="36">
        <v>0</v>
      </c>
      <c r="E16" s="36">
        <v>0.45000000000000018</v>
      </c>
      <c r="F16" s="36">
        <v>0.58000000000000007</v>
      </c>
      <c r="G16" s="36">
        <v>1E+30</v>
      </c>
      <c r="H16" s="36">
        <v>0.45000000000000018</v>
      </c>
    </row>
    <row r="17" spans="1:8" x14ac:dyDescent="0.2">
      <c r="B17" s="36" t="s">
        <v>28</v>
      </c>
      <c r="C17" s="36" t="s">
        <v>133</v>
      </c>
      <c r="D17" s="36">
        <v>3000</v>
      </c>
      <c r="E17" s="36">
        <v>0</v>
      </c>
      <c r="F17" s="36">
        <v>0.64999999999999991</v>
      </c>
      <c r="G17" s="36">
        <v>9.0000000000000302E-2</v>
      </c>
      <c r="H17" s="36">
        <v>2.0000000000000018E-2</v>
      </c>
    </row>
    <row r="18" spans="1:8" x14ac:dyDescent="0.2">
      <c r="B18" s="36" t="s">
        <v>29</v>
      </c>
      <c r="C18" s="36" t="s">
        <v>134</v>
      </c>
      <c r="D18" s="36">
        <v>0</v>
      </c>
      <c r="E18" s="36">
        <v>9.0000000000000302E-2</v>
      </c>
      <c r="F18" s="36">
        <v>0.68000000000000016</v>
      </c>
      <c r="G18" s="36">
        <v>1E+30</v>
      </c>
      <c r="H18" s="36">
        <v>9.0000000000000302E-2</v>
      </c>
    </row>
    <row r="19" spans="1:8" x14ac:dyDescent="0.2">
      <c r="B19" s="36" t="s">
        <v>30</v>
      </c>
      <c r="C19" s="36" t="s">
        <v>135</v>
      </c>
      <c r="D19" s="36">
        <v>2000</v>
      </c>
      <c r="E19" s="36">
        <v>0</v>
      </c>
      <c r="F19" s="36">
        <v>0.54999999999999982</v>
      </c>
      <c r="G19" s="36">
        <v>2.0000000000000018E-2</v>
      </c>
      <c r="H19" s="36">
        <v>0.27999999999999992</v>
      </c>
    </row>
    <row r="20" spans="1:8" ht="14" thickBot="1" x14ac:dyDescent="0.25">
      <c r="B20" s="37" t="s">
        <v>31</v>
      </c>
      <c r="C20" s="37" t="s">
        <v>136</v>
      </c>
      <c r="D20" s="37">
        <v>9000</v>
      </c>
      <c r="E20" s="37">
        <v>0</v>
      </c>
      <c r="F20" s="37">
        <v>0.41999999999999993</v>
      </c>
      <c r="G20" s="37">
        <v>0.31000000000000005</v>
      </c>
      <c r="H20" s="37">
        <v>0.41999999999999993</v>
      </c>
    </row>
    <row r="22" spans="1:8" ht="14" thickBot="1" x14ac:dyDescent="0.25">
      <c r="A22" t="s">
        <v>0</v>
      </c>
    </row>
    <row r="23" spans="1:8" x14ac:dyDescent="0.2">
      <c r="B23" s="38"/>
      <c r="C23" s="38"/>
      <c r="D23" s="38" t="s">
        <v>92</v>
      </c>
      <c r="E23" s="38" t="s">
        <v>99</v>
      </c>
      <c r="F23" s="38" t="s">
        <v>101</v>
      </c>
      <c r="G23" s="38" t="s">
        <v>96</v>
      </c>
      <c r="H23" s="38" t="s">
        <v>96</v>
      </c>
    </row>
    <row r="24" spans="1:8" ht="14" thickBot="1" x14ac:dyDescent="0.25">
      <c r="B24" s="39" t="s">
        <v>90</v>
      </c>
      <c r="C24" s="39" t="s">
        <v>91</v>
      </c>
      <c r="D24" s="39" t="s">
        <v>93</v>
      </c>
      <c r="E24" s="39" t="s">
        <v>100</v>
      </c>
      <c r="F24" s="39" t="s">
        <v>102</v>
      </c>
      <c r="G24" s="39" t="s">
        <v>97</v>
      </c>
      <c r="H24" s="39" t="s">
        <v>98</v>
      </c>
    </row>
    <row r="25" spans="1:8" x14ac:dyDescent="0.2">
      <c r="B25" s="36" t="s">
        <v>137</v>
      </c>
      <c r="C25" s="36" t="s">
        <v>138</v>
      </c>
      <c r="D25" s="36">
        <v>8000</v>
      </c>
      <c r="E25" s="36">
        <v>0.64999999999999991</v>
      </c>
      <c r="F25" s="36">
        <v>8000</v>
      </c>
      <c r="G25" s="36">
        <v>1000</v>
      </c>
      <c r="H25" s="36">
        <v>3000</v>
      </c>
    </row>
    <row r="26" spans="1:8" x14ac:dyDescent="0.2">
      <c r="B26" s="36" t="s">
        <v>139</v>
      </c>
      <c r="C26" s="36" t="s">
        <v>140</v>
      </c>
      <c r="D26" s="36">
        <v>10000</v>
      </c>
      <c r="E26" s="36">
        <v>0.58999999999999986</v>
      </c>
      <c r="F26" s="36">
        <v>10000</v>
      </c>
      <c r="G26" s="36">
        <v>1000</v>
      </c>
      <c r="H26" s="36">
        <v>3000</v>
      </c>
    </row>
    <row r="27" spans="1:8" x14ac:dyDescent="0.2">
      <c r="B27" s="36" t="s">
        <v>141</v>
      </c>
      <c r="C27" s="36" t="s">
        <v>142</v>
      </c>
      <c r="D27" s="36">
        <v>12000</v>
      </c>
      <c r="E27" s="36">
        <v>0.54999999999999982</v>
      </c>
      <c r="F27" s="36">
        <v>12000</v>
      </c>
      <c r="G27" s="36">
        <v>1000</v>
      </c>
      <c r="H27" s="36">
        <v>2000</v>
      </c>
    </row>
    <row r="28" spans="1:8" x14ac:dyDescent="0.2">
      <c r="B28" s="36" t="s">
        <v>143</v>
      </c>
      <c r="C28" s="36" t="s">
        <v>144</v>
      </c>
      <c r="D28" s="36">
        <v>9000</v>
      </c>
      <c r="E28" s="36">
        <v>0.41999999999999993</v>
      </c>
      <c r="F28" s="36">
        <v>9000</v>
      </c>
      <c r="G28" s="36">
        <v>1000</v>
      </c>
      <c r="H28" s="36">
        <v>9000</v>
      </c>
    </row>
    <row r="29" spans="1:8" x14ac:dyDescent="0.2">
      <c r="B29" s="36" t="s">
        <v>145</v>
      </c>
      <c r="C29" s="36" t="s">
        <v>146</v>
      </c>
      <c r="D29" s="36">
        <v>10000</v>
      </c>
      <c r="E29" s="36">
        <v>-0.32999999999999985</v>
      </c>
      <c r="F29" s="36">
        <v>10000</v>
      </c>
      <c r="G29" s="36">
        <v>2000</v>
      </c>
      <c r="H29" s="36">
        <v>1000</v>
      </c>
    </row>
    <row r="30" spans="1:8" x14ac:dyDescent="0.2">
      <c r="B30" s="36" t="s">
        <v>147</v>
      </c>
      <c r="C30" s="36" t="s">
        <v>148</v>
      </c>
      <c r="D30" s="36">
        <v>15000</v>
      </c>
      <c r="E30" s="36">
        <v>-0.29000000000000004</v>
      </c>
      <c r="F30" s="36">
        <v>15000</v>
      </c>
      <c r="G30" s="36">
        <v>3000</v>
      </c>
      <c r="H30" s="36">
        <v>1000</v>
      </c>
    </row>
    <row r="31" spans="1:8" ht="14" thickBot="1" x14ac:dyDescent="0.25">
      <c r="B31" s="37" t="s">
        <v>149</v>
      </c>
      <c r="C31" s="37" t="s">
        <v>150</v>
      </c>
      <c r="D31" s="37">
        <v>14000</v>
      </c>
      <c r="E31" s="37">
        <v>0</v>
      </c>
      <c r="F31" s="37">
        <v>15000</v>
      </c>
      <c r="G31" s="37">
        <v>1E+30</v>
      </c>
      <c r="H31" s="3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6BB1-8DF6-5546-A6F2-CDFCEAD1CFA3}">
  <dimension ref="A1:H31"/>
  <sheetViews>
    <sheetView showGridLines="0" zoomScale="111" workbookViewId="0">
      <selection sqref="A1:A3"/>
    </sheetView>
  </sheetViews>
  <sheetFormatPr baseColWidth="10" defaultRowHeight="13" x14ac:dyDescent="0.2"/>
  <cols>
    <col min="1" max="1" width="2.33203125" customWidth="1"/>
    <col min="2" max="2" width="5.33203125" bestFit="1" customWidth="1"/>
    <col min="3" max="3" width="9" bestFit="1" customWidth="1"/>
    <col min="4" max="4" width="6.1640625" bestFit="1" customWidth="1"/>
    <col min="5" max="5" width="7.5" bestFit="1" customWidth="1"/>
    <col min="6" max="6" width="9.1640625" bestFit="1" customWidth="1"/>
    <col min="7" max="8" width="8.1640625" bestFit="1" customWidth="1"/>
  </cols>
  <sheetData>
    <row r="1" spans="1:8" x14ac:dyDescent="0.2">
      <c r="A1" s="13" t="s">
        <v>122</v>
      </c>
    </row>
    <row r="2" spans="1:8" x14ac:dyDescent="0.2">
      <c r="A2" s="13" t="s">
        <v>123</v>
      </c>
    </row>
    <row r="3" spans="1:8" x14ac:dyDescent="0.2">
      <c r="A3" s="13" t="s">
        <v>151</v>
      </c>
    </row>
    <row r="6" spans="1:8" ht="14" thickBot="1" x14ac:dyDescent="0.25">
      <c r="A6" t="s">
        <v>89</v>
      </c>
    </row>
    <row r="7" spans="1:8" x14ac:dyDescent="0.2">
      <c r="B7" s="38"/>
      <c r="C7" s="38"/>
      <c r="D7" s="38" t="s">
        <v>92</v>
      </c>
      <c r="E7" s="38" t="s">
        <v>94</v>
      </c>
      <c r="F7" s="38" t="s">
        <v>4</v>
      </c>
      <c r="G7" s="38" t="s">
        <v>96</v>
      </c>
      <c r="H7" s="38" t="s">
        <v>96</v>
      </c>
    </row>
    <row r="8" spans="1:8" ht="14" thickBot="1" x14ac:dyDescent="0.25">
      <c r="B8" s="39" t="s">
        <v>90</v>
      </c>
      <c r="C8" s="39" t="s">
        <v>91</v>
      </c>
      <c r="D8" s="39" t="s">
        <v>93</v>
      </c>
      <c r="E8" s="39" t="s">
        <v>41</v>
      </c>
      <c r="F8" s="39" t="s">
        <v>95</v>
      </c>
      <c r="G8" s="39" t="s">
        <v>97</v>
      </c>
      <c r="H8" s="39" t="s">
        <v>98</v>
      </c>
    </row>
    <row r="9" spans="1:8" x14ac:dyDescent="0.2">
      <c r="B9" s="36" t="s">
        <v>24</v>
      </c>
      <c r="C9" s="36" t="s">
        <v>125</v>
      </c>
      <c r="D9" s="36">
        <v>0</v>
      </c>
      <c r="E9" s="36">
        <v>0.29999999999999993</v>
      </c>
      <c r="F9" s="36">
        <v>0.6</v>
      </c>
      <c r="G9" s="36">
        <v>1E+30</v>
      </c>
      <c r="H9" s="36">
        <v>0.29999999999999993</v>
      </c>
    </row>
    <row r="10" spans="1:8" x14ac:dyDescent="0.2">
      <c r="B10" s="36" t="s">
        <v>25</v>
      </c>
      <c r="C10" s="36" t="s">
        <v>126</v>
      </c>
      <c r="D10" s="36">
        <v>0</v>
      </c>
      <c r="E10" s="36">
        <v>0.32000000000000017</v>
      </c>
      <c r="F10" s="36">
        <v>0.56000000000000016</v>
      </c>
      <c r="G10" s="36">
        <v>1E+30</v>
      </c>
      <c r="H10" s="36">
        <v>0.32000000000000017</v>
      </c>
    </row>
    <row r="11" spans="1:8" x14ac:dyDescent="0.2">
      <c r="B11" s="36" t="s">
        <v>26</v>
      </c>
      <c r="C11" s="36" t="s">
        <v>127</v>
      </c>
      <c r="D11" s="36">
        <v>10000</v>
      </c>
      <c r="E11" s="36">
        <v>0</v>
      </c>
      <c r="F11" s="36">
        <v>0.21999999999999997</v>
      </c>
      <c r="G11" s="36">
        <v>0.29999999999999993</v>
      </c>
      <c r="H11" s="36">
        <v>1E+30</v>
      </c>
    </row>
    <row r="12" spans="1:8" x14ac:dyDescent="0.2">
      <c r="B12" s="36" t="s">
        <v>27</v>
      </c>
      <c r="C12" s="36" t="s">
        <v>128</v>
      </c>
      <c r="D12" s="36">
        <v>0</v>
      </c>
      <c r="E12" s="36">
        <v>0.30000000000000027</v>
      </c>
      <c r="F12" s="36">
        <v>0.40000000000000013</v>
      </c>
      <c r="G12" s="36">
        <v>1E+30</v>
      </c>
      <c r="H12" s="36">
        <v>0.30000000000000027</v>
      </c>
    </row>
    <row r="13" spans="1:8" x14ac:dyDescent="0.2">
      <c r="B13" s="36" t="s">
        <v>20</v>
      </c>
      <c r="C13" s="36" t="s">
        <v>129</v>
      </c>
      <c r="D13" s="36">
        <v>3000</v>
      </c>
      <c r="E13" s="36">
        <v>0</v>
      </c>
      <c r="F13" s="36">
        <v>0.35999999999999988</v>
      </c>
      <c r="G13" s="36">
        <v>0.26000000000000023</v>
      </c>
      <c r="H13" s="36">
        <v>9.9999999999997868E-3</v>
      </c>
    </row>
    <row r="14" spans="1:8" x14ac:dyDescent="0.2">
      <c r="B14" s="36" t="s">
        <v>21</v>
      </c>
      <c r="C14" s="36" t="s">
        <v>130</v>
      </c>
      <c r="D14" s="36">
        <v>10000</v>
      </c>
      <c r="E14" s="36">
        <v>0</v>
      </c>
      <c r="F14" s="36">
        <v>0.29999999999999982</v>
      </c>
      <c r="G14" s="36">
        <v>0.11999999999999966</v>
      </c>
      <c r="H14" s="36">
        <v>0.56000000000000005</v>
      </c>
    </row>
    <row r="15" spans="1:8" x14ac:dyDescent="0.2">
      <c r="B15" s="36" t="s">
        <v>22</v>
      </c>
      <c r="C15" s="36" t="s">
        <v>131</v>
      </c>
      <c r="D15" s="36">
        <v>2000</v>
      </c>
      <c r="E15" s="36">
        <v>0</v>
      </c>
      <c r="F15" s="36">
        <v>0.2799999999999998</v>
      </c>
      <c r="G15" s="36">
        <v>9.9999999999997868E-3</v>
      </c>
      <c r="H15" s="36">
        <v>0.29999999999999993</v>
      </c>
    </row>
    <row r="16" spans="1:8" x14ac:dyDescent="0.2">
      <c r="B16" s="36" t="s">
        <v>23</v>
      </c>
      <c r="C16" s="36" t="s">
        <v>132</v>
      </c>
      <c r="D16" s="36">
        <v>0</v>
      </c>
      <c r="E16" s="36">
        <v>0.42000000000000037</v>
      </c>
      <c r="F16" s="36">
        <v>0.58000000000000007</v>
      </c>
      <c r="G16" s="36">
        <v>1E+30</v>
      </c>
      <c r="H16" s="36">
        <v>0.42000000000000037</v>
      </c>
    </row>
    <row r="17" spans="1:8" x14ac:dyDescent="0.2">
      <c r="B17" s="36" t="s">
        <v>28</v>
      </c>
      <c r="C17" s="36" t="s">
        <v>133</v>
      </c>
      <c r="D17" s="36">
        <v>5000</v>
      </c>
      <c r="E17" s="36">
        <v>0</v>
      </c>
      <c r="F17" s="36">
        <v>0.62000000000000011</v>
      </c>
      <c r="G17" s="36">
        <v>9.9999999999997868E-3</v>
      </c>
      <c r="H17" s="36">
        <v>0.26000000000000023</v>
      </c>
    </row>
    <row r="18" spans="1:8" x14ac:dyDescent="0.2">
      <c r="B18" s="36" t="s">
        <v>29</v>
      </c>
      <c r="C18" s="36" t="s">
        <v>134</v>
      </c>
      <c r="D18" s="36">
        <v>0</v>
      </c>
      <c r="E18" s="36">
        <v>0.11999999999999966</v>
      </c>
      <c r="F18" s="36">
        <v>0.67999999999999972</v>
      </c>
      <c r="G18" s="36">
        <v>1E+30</v>
      </c>
      <c r="H18" s="36">
        <v>0.11999999999999966</v>
      </c>
    </row>
    <row r="19" spans="1:8" x14ac:dyDescent="0.2">
      <c r="B19" s="36" t="s">
        <v>30</v>
      </c>
      <c r="C19" s="36" t="s">
        <v>135</v>
      </c>
      <c r="D19" s="36">
        <v>0</v>
      </c>
      <c r="E19" s="36">
        <v>9.9999999999997868E-3</v>
      </c>
      <c r="F19" s="36">
        <v>0.54999999999999982</v>
      </c>
      <c r="G19" s="36">
        <v>1E+30</v>
      </c>
      <c r="H19" s="36">
        <v>9.9999999999997868E-3</v>
      </c>
    </row>
    <row r="20" spans="1:8" ht="14" thickBot="1" x14ac:dyDescent="0.25">
      <c r="B20" s="37" t="s">
        <v>31</v>
      </c>
      <c r="C20" s="37" t="s">
        <v>136</v>
      </c>
      <c r="D20" s="37">
        <v>9000</v>
      </c>
      <c r="E20" s="37">
        <v>0</v>
      </c>
      <c r="F20" s="37">
        <v>0.41999999999999993</v>
      </c>
      <c r="G20" s="37">
        <v>0.30000000000000027</v>
      </c>
      <c r="H20" s="37">
        <v>0.41999999999999993</v>
      </c>
    </row>
    <row r="22" spans="1:8" ht="14" thickBot="1" x14ac:dyDescent="0.25">
      <c r="A22" t="s">
        <v>0</v>
      </c>
    </row>
    <row r="23" spans="1:8" x14ac:dyDescent="0.2">
      <c r="B23" s="38"/>
      <c r="C23" s="38"/>
      <c r="D23" s="38" t="s">
        <v>92</v>
      </c>
      <c r="E23" s="38" t="s">
        <v>99</v>
      </c>
      <c r="F23" s="38" t="s">
        <v>101</v>
      </c>
      <c r="G23" s="38" t="s">
        <v>96</v>
      </c>
      <c r="H23" s="38" t="s">
        <v>96</v>
      </c>
    </row>
    <row r="24" spans="1:8" ht="14" thickBot="1" x14ac:dyDescent="0.25">
      <c r="B24" s="39" t="s">
        <v>90</v>
      </c>
      <c r="C24" s="39" t="s">
        <v>91</v>
      </c>
      <c r="D24" s="39" t="s">
        <v>93</v>
      </c>
      <c r="E24" s="39" t="s">
        <v>100</v>
      </c>
      <c r="F24" s="39" t="s">
        <v>102</v>
      </c>
      <c r="G24" s="39" t="s">
        <v>97</v>
      </c>
      <c r="H24" s="39" t="s">
        <v>98</v>
      </c>
    </row>
    <row r="25" spans="1:8" x14ac:dyDescent="0.2">
      <c r="B25" s="36" t="s">
        <v>137</v>
      </c>
      <c r="C25" s="36" t="s">
        <v>138</v>
      </c>
      <c r="D25" s="36">
        <v>8000</v>
      </c>
      <c r="E25" s="36">
        <v>0.62000000000000011</v>
      </c>
      <c r="F25" s="36">
        <v>8000</v>
      </c>
      <c r="G25" s="36">
        <v>1000</v>
      </c>
      <c r="H25" s="36">
        <v>5000</v>
      </c>
    </row>
    <row r="26" spans="1:8" x14ac:dyDescent="0.2">
      <c r="B26" s="36" t="s">
        <v>139</v>
      </c>
      <c r="C26" s="36" t="s">
        <v>140</v>
      </c>
      <c r="D26" s="36">
        <v>10000</v>
      </c>
      <c r="E26" s="36">
        <v>0.56000000000000005</v>
      </c>
      <c r="F26" s="36">
        <v>10000</v>
      </c>
      <c r="G26" s="36">
        <v>1000</v>
      </c>
      <c r="H26" s="36">
        <v>5000</v>
      </c>
    </row>
    <row r="27" spans="1:8" x14ac:dyDescent="0.2">
      <c r="B27" s="36" t="s">
        <v>141</v>
      </c>
      <c r="C27" s="36" t="s">
        <v>142</v>
      </c>
      <c r="D27" s="36">
        <v>12000</v>
      </c>
      <c r="E27" s="36">
        <v>0.54</v>
      </c>
      <c r="F27" s="36">
        <v>12000</v>
      </c>
      <c r="G27" s="36">
        <v>1000</v>
      </c>
      <c r="H27" s="36">
        <v>2000</v>
      </c>
    </row>
    <row r="28" spans="1:8" x14ac:dyDescent="0.2">
      <c r="B28" s="36" t="s">
        <v>143</v>
      </c>
      <c r="C28" s="36" t="s">
        <v>144</v>
      </c>
      <c r="D28" s="36">
        <v>9000</v>
      </c>
      <c r="E28" s="36">
        <v>0.41999999999999993</v>
      </c>
      <c r="F28" s="36">
        <v>9000</v>
      </c>
      <c r="G28" s="36">
        <v>1000</v>
      </c>
      <c r="H28" s="36">
        <v>9000</v>
      </c>
    </row>
    <row r="29" spans="1:8" x14ac:dyDescent="0.2">
      <c r="B29" s="36" t="s">
        <v>145</v>
      </c>
      <c r="C29" s="36" t="s">
        <v>146</v>
      </c>
      <c r="D29" s="36">
        <v>10000</v>
      </c>
      <c r="E29" s="36">
        <v>-0.32000000000000006</v>
      </c>
      <c r="F29" s="36">
        <v>10000</v>
      </c>
      <c r="G29" s="36">
        <v>2000</v>
      </c>
      <c r="H29" s="36">
        <v>1000</v>
      </c>
    </row>
    <row r="30" spans="1:8" x14ac:dyDescent="0.2">
      <c r="B30" s="36" t="s">
        <v>147</v>
      </c>
      <c r="C30" s="36" t="s">
        <v>148</v>
      </c>
      <c r="D30" s="36">
        <v>15000</v>
      </c>
      <c r="E30" s="36">
        <v>-0.26000000000000023</v>
      </c>
      <c r="F30" s="36">
        <v>15000</v>
      </c>
      <c r="G30" s="36">
        <v>5000</v>
      </c>
      <c r="H30" s="36">
        <v>1000</v>
      </c>
    </row>
    <row r="31" spans="1:8" ht="14" thickBot="1" x14ac:dyDescent="0.25">
      <c r="B31" s="37" t="s">
        <v>149</v>
      </c>
      <c r="C31" s="37" t="s">
        <v>150</v>
      </c>
      <c r="D31" s="37">
        <v>14000</v>
      </c>
      <c r="E31" s="37">
        <v>0</v>
      </c>
      <c r="F31" s="37">
        <v>15000</v>
      </c>
      <c r="G31" s="37">
        <v>1E+30</v>
      </c>
      <c r="H31" s="3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D37E-8F84-46C9-97D8-6290A557EE7F}">
  <sheetPr codeName="Sheet1">
    <pageSetUpPr fitToPage="1"/>
  </sheetPr>
  <dimension ref="A1:N29"/>
  <sheetViews>
    <sheetView zoomScale="107" zoomScaleNormal="130" workbookViewId="0">
      <selection activeCell="C8" sqref="C8"/>
    </sheetView>
  </sheetViews>
  <sheetFormatPr baseColWidth="10" defaultColWidth="8.83203125" defaultRowHeight="13" x14ac:dyDescent="0.2"/>
  <cols>
    <col min="1" max="1" width="11.5" customWidth="1"/>
    <col min="2" max="2" width="12.1640625" customWidth="1"/>
  </cols>
  <sheetData>
    <row r="1" spans="1:14" ht="15" x14ac:dyDescent="0.2">
      <c r="A1" s="1" t="s">
        <v>119</v>
      </c>
      <c r="B1" s="2"/>
      <c r="C1" s="2"/>
      <c r="D1" s="2"/>
      <c r="E1" s="2"/>
      <c r="F1" s="3"/>
      <c r="G1" s="2"/>
    </row>
    <row r="2" spans="1:14" ht="15" x14ac:dyDescent="0.2">
      <c r="A2" s="1"/>
      <c r="B2" s="2"/>
      <c r="C2" s="2"/>
      <c r="D2" s="2"/>
      <c r="E2" s="2"/>
      <c r="F2" s="3"/>
      <c r="G2" s="2"/>
    </row>
    <row r="3" spans="1:14" ht="15" x14ac:dyDescent="0.2">
      <c r="A3" s="1" t="s">
        <v>1</v>
      </c>
      <c r="B3" s="2"/>
      <c r="C3" s="2"/>
      <c r="D3" s="2"/>
      <c r="E3" s="2"/>
      <c r="F3" s="3"/>
      <c r="G3" s="2"/>
      <c r="H3" s="1" t="s">
        <v>3</v>
      </c>
      <c r="I3" s="2"/>
      <c r="J3" s="2"/>
      <c r="K3" s="2"/>
      <c r="L3" s="2"/>
      <c r="M3" s="3"/>
      <c r="N3" s="2"/>
    </row>
    <row r="4" spans="1:14" ht="15" x14ac:dyDescent="0.2">
      <c r="A4" s="1"/>
      <c r="B4" s="2"/>
      <c r="C4" s="4" t="s">
        <v>6</v>
      </c>
      <c r="D4" s="2"/>
      <c r="E4" s="2"/>
      <c r="F4" s="3"/>
      <c r="G4" s="2"/>
      <c r="H4" s="5"/>
      <c r="I4" s="2"/>
      <c r="J4" s="4" t="s">
        <v>6</v>
      </c>
      <c r="K4" s="2"/>
      <c r="L4" s="2"/>
      <c r="M4" s="2"/>
      <c r="N4" s="2"/>
    </row>
    <row r="5" spans="1:14" s="2" customFormat="1" ht="15" x14ac:dyDescent="0.2">
      <c r="A5" s="1"/>
      <c r="B5" s="4" t="s">
        <v>7</v>
      </c>
      <c r="C5" s="14" t="s">
        <v>11</v>
      </c>
      <c r="D5" s="14" t="s">
        <v>12</v>
      </c>
      <c r="E5" s="14" t="s">
        <v>13</v>
      </c>
      <c r="F5" s="14" t="s">
        <v>17</v>
      </c>
      <c r="G5" s="4" t="s">
        <v>5</v>
      </c>
      <c r="H5" s="1"/>
      <c r="I5" s="4" t="s">
        <v>7</v>
      </c>
      <c r="J5" s="14" t="s">
        <v>11</v>
      </c>
      <c r="K5" s="14" t="s">
        <v>12</v>
      </c>
      <c r="L5" s="14" t="s">
        <v>13</v>
      </c>
      <c r="M5" s="14" t="s">
        <v>17</v>
      </c>
      <c r="N5" s="7" t="s">
        <v>9</v>
      </c>
    </row>
    <row r="6" spans="1:14" s="2" customFormat="1" ht="15" x14ac:dyDescent="0.2">
      <c r="A6" s="1"/>
      <c r="B6" s="14" t="s">
        <v>14</v>
      </c>
      <c r="C6" s="11">
        <v>0.6</v>
      </c>
      <c r="D6" s="11">
        <v>0.56000000000000005</v>
      </c>
      <c r="E6" s="11">
        <v>0.22</v>
      </c>
      <c r="F6" s="11">
        <v>0.4</v>
      </c>
      <c r="G6" s="6">
        <v>10000</v>
      </c>
      <c r="H6" s="1"/>
      <c r="I6" s="14" t="s">
        <v>14</v>
      </c>
      <c r="J6" s="10">
        <v>0</v>
      </c>
      <c r="K6" s="10">
        <v>0</v>
      </c>
      <c r="L6" s="10">
        <v>10000</v>
      </c>
      <c r="M6" s="10">
        <v>0</v>
      </c>
      <c r="N6" s="6">
        <f>SUM(J6:M6)</f>
        <v>10000</v>
      </c>
    </row>
    <row r="7" spans="1:14" s="2" customFormat="1" ht="15" x14ac:dyDescent="0.2">
      <c r="A7" s="1"/>
      <c r="B7" s="14" t="s">
        <v>15</v>
      </c>
      <c r="C7" s="11">
        <v>0.36</v>
      </c>
      <c r="D7" s="11">
        <v>0.3</v>
      </c>
      <c r="E7" s="11">
        <v>0.28000000000000003</v>
      </c>
      <c r="F7" s="11">
        <v>0.57999999999999996</v>
      </c>
      <c r="G7" s="6">
        <v>15000</v>
      </c>
      <c r="H7" s="1"/>
      <c r="I7" s="14" t="s">
        <v>15</v>
      </c>
      <c r="J7" s="10">
        <v>3000</v>
      </c>
      <c r="K7" s="10">
        <v>10000</v>
      </c>
      <c r="L7" s="10">
        <v>2000</v>
      </c>
      <c r="M7" s="10">
        <v>0</v>
      </c>
      <c r="N7" s="6">
        <f>SUM(J7:M7)</f>
        <v>15000</v>
      </c>
    </row>
    <row r="8" spans="1:14" s="2" customFormat="1" ht="15" x14ac:dyDescent="0.2">
      <c r="A8" s="1"/>
      <c r="B8" s="14" t="s">
        <v>16</v>
      </c>
      <c r="C8" s="11">
        <v>0.65</v>
      </c>
      <c r="D8" s="11">
        <v>0.68</v>
      </c>
      <c r="E8" s="11">
        <v>0.55000000000000004</v>
      </c>
      <c r="F8" s="11">
        <v>0.42</v>
      </c>
      <c r="G8" s="6">
        <v>15000</v>
      </c>
      <c r="H8" s="1"/>
      <c r="I8" s="14" t="s">
        <v>16</v>
      </c>
      <c r="J8" s="10">
        <v>5000</v>
      </c>
      <c r="K8" s="10">
        <v>0</v>
      </c>
      <c r="L8" s="10">
        <v>0</v>
      </c>
      <c r="M8" s="10">
        <v>9000</v>
      </c>
      <c r="N8" s="6">
        <f>SUM(J8:M8)</f>
        <v>14000</v>
      </c>
    </row>
    <row r="9" spans="1:14" s="2" customFormat="1" ht="15" x14ac:dyDescent="0.2">
      <c r="A9" s="1"/>
      <c r="B9" s="4" t="s">
        <v>8</v>
      </c>
      <c r="C9" s="6">
        <v>8000</v>
      </c>
      <c r="D9" s="6">
        <v>10000</v>
      </c>
      <c r="E9" s="6">
        <v>12000</v>
      </c>
      <c r="F9" s="6">
        <v>9000</v>
      </c>
      <c r="G9" s="6"/>
      <c r="H9" s="1"/>
      <c r="I9" s="4" t="s">
        <v>10</v>
      </c>
      <c r="J9" s="6">
        <f>SUM(J6:J8)</f>
        <v>8000</v>
      </c>
      <c r="K9" s="6">
        <f>SUM(K6:K8)</f>
        <v>10000</v>
      </c>
      <c r="L9" s="6">
        <f>SUM(L6:L8)</f>
        <v>12000</v>
      </c>
      <c r="M9" s="6">
        <f>SUM(M6:M8)</f>
        <v>9000</v>
      </c>
      <c r="N9" s="8">
        <f>SUM(N6:N8)</f>
        <v>39000</v>
      </c>
    </row>
    <row r="10" spans="1:14" ht="15" x14ac:dyDescent="0.2">
      <c r="A10" s="1"/>
      <c r="B10" s="4"/>
      <c r="C10" s="6"/>
      <c r="D10" s="6"/>
      <c r="E10" s="6"/>
      <c r="F10" s="6"/>
      <c r="G10" s="9"/>
    </row>
    <row r="11" spans="1:14" ht="15" x14ac:dyDescent="0.2">
      <c r="A11" s="1"/>
      <c r="B11" s="2"/>
      <c r="C11" s="2"/>
      <c r="D11" s="2"/>
      <c r="E11" s="4"/>
      <c r="F11" s="4"/>
      <c r="G11" s="2"/>
      <c r="H11" s="1" t="s">
        <v>4</v>
      </c>
    </row>
    <row r="12" spans="1:14" ht="15" x14ac:dyDescent="0.2">
      <c r="A12" s="1"/>
      <c r="B12" s="2"/>
      <c r="C12" s="4"/>
      <c r="D12" s="2"/>
      <c r="E12" s="2"/>
      <c r="F12" s="3"/>
      <c r="G12" s="2"/>
      <c r="I12" s="2"/>
      <c r="J12" s="4" t="s">
        <v>6</v>
      </c>
      <c r="K12" s="2"/>
      <c r="L12" s="2"/>
      <c r="M12" s="3"/>
    </row>
    <row r="13" spans="1:14" ht="15" x14ac:dyDescent="0.2">
      <c r="A13" s="1"/>
      <c r="B13" s="4"/>
      <c r="C13" s="14"/>
      <c r="D13" s="14"/>
      <c r="E13" s="14"/>
      <c r="F13" s="14"/>
      <c r="G13" s="2"/>
      <c r="I13" s="4" t="s">
        <v>7</v>
      </c>
      <c r="J13" s="14" t="s">
        <v>11</v>
      </c>
      <c r="K13" s="14" t="s">
        <v>12</v>
      </c>
      <c r="L13" s="14" t="s">
        <v>13</v>
      </c>
      <c r="M13" s="14" t="s">
        <v>17</v>
      </c>
    </row>
    <row r="14" spans="1:14" ht="15" x14ac:dyDescent="0.2">
      <c r="A14" s="1"/>
      <c r="B14" s="14"/>
      <c r="C14" s="16"/>
      <c r="D14" s="16"/>
      <c r="E14" s="16"/>
      <c r="F14" s="16"/>
      <c r="G14" s="2"/>
      <c r="I14" s="14" t="s">
        <v>14</v>
      </c>
      <c r="J14" s="11">
        <f>C6*J6</f>
        <v>0</v>
      </c>
      <c r="K14" s="11">
        <f t="shared" ref="K14:M14" si="0">D6*K6</f>
        <v>0</v>
      </c>
      <c r="L14" s="11">
        <f t="shared" si="0"/>
        <v>2200</v>
      </c>
      <c r="M14" s="11">
        <f t="shared" si="0"/>
        <v>0</v>
      </c>
    </row>
    <row r="15" spans="1:14" ht="15" x14ac:dyDescent="0.2">
      <c r="A15" s="1"/>
      <c r="B15" s="14"/>
      <c r="C15" s="16"/>
      <c r="D15" s="16"/>
      <c r="E15" s="16"/>
      <c r="F15" s="16"/>
      <c r="G15" s="2"/>
      <c r="I15" s="14" t="s">
        <v>15</v>
      </c>
      <c r="J15" s="11">
        <f t="shared" ref="J15:M15" si="1">C7*J7</f>
        <v>1080</v>
      </c>
      <c r="K15" s="11">
        <f t="shared" si="1"/>
        <v>3000</v>
      </c>
      <c r="L15" s="11">
        <f t="shared" si="1"/>
        <v>560</v>
      </c>
      <c r="M15" s="11">
        <f t="shared" si="1"/>
        <v>0</v>
      </c>
    </row>
    <row r="16" spans="1:14" ht="15" x14ac:dyDescent="0.2">
      <c r="A16" s="5"/>
      <c r="B16" s="14"/>
      <c r="C16" s="16"/>
      <c r="D16" s="16"/>
      <c r="E16" s="16"/>
      <c r="F16" s="16"/>
      <c r="G16" s="2"/>
      <c r="I16" s="14" t="s">
        <v>16</v>
      </c>
      <c r="J16" s="11">
        <f t="shared" ref="J16:M16" si="2">C8*J8</f>
        <v>3250</v>
      </c>
      <c r="K16" s="11">
        <f t="shared" si="2"/>
        <v>0</v>
      </c>
      <c r="L16" s="11">
        <f t="shared" si="2"/>
        <v>0</v>
      </c>
      <c r="M16" s="11">
        <f t="shared" si="2"/>
        <v>3780</v>
      </c>
    </row>
    <row r="17" spans="1:13" ht="15" x14ac:dyDescent="0.2">
      <c r="A17" s="5"/>
      <c r="B17" s="4"/>
      <c r="C17" s="15"/>
      <c r="D17" s="2"/>
      <c r="E17" s="2"/>
      <c r="F17" s="2"/>
      <c r="G17" s="2"/>
      <c r="I17" s="4" t="s">
        <v>2</v>
      </c>
      <c r="J17" s="12">
        <f>SUM(J14:M16)</f>
        <v>13870</v>
      </c>
      <c r="K17" s="2"/>
      <c r="L17" s="2"/>
      <c r="M17" s="2"/>
    </row>
    <row r="18" spans="1:13" ht="15" x14ac:dyDescent="0.2">
      <c r="A18" s="5"/>
      <c r="B18" s="4"/>
      <c r="C18" s="15"/>
      <c r="D18" s="2"/>
      <c r="E18" s="2"/>
      <c r="F18" s="2"/>
      <c r="G18" s="2"/>
    </row>
    <row r="19" spans="1:13" ht="15" x14ac:dyDescent="0.2">
      <c r="A19" s="1" t="s">
        <v>0</v>
      </c>
      <c r="B19" s="2"/>
      <c r="C19" s="2"/>
      <c r="D19" s="2"/>
      <c r="E19" s="4"/>
      <c r="F19" s="4"/>
      <c r="G19" s="4"/>
    </row>
    <row r="20" spans="1:13" ht="15" x14ac:dyDescent="0.2">
      <c r="A20" s="1"/>
      <c r="B20" s="2"/>
      <c r="C20" s="2"/>
      <c r="D20" s="2"/>
      <c r="E20" s="4"/>
      <c r="F20" s="4"/>
      <c r="G20" s="4"/>
      <c r="H20" s="4"/>
      <c r="I20" s="4"/>
    </row>
    <row r="21" spans="1:13" ht="15" x14ac:dyDescent="0.2">
      <c r="A21" s="5"/>
      <c r="B21" s="2"/>
      <c r="C21" s="2"/>
      <c r="D21" s="2"/>
      <c r="E21" s="2"/>
      <c r="F21" s="2"/>
      <c r="G21" s="2"/>
      <c r="H21" s="3"/>
      <c r="I21" s="2"/>
    </row>
    <row r="22" spans="1:13" ht="15" x14ac:dyDescent="0.2">
      <c r="A22" s="5"/>
      <c r="B22" s="2"/>
      <c r="C22" s="2"/>
      <c r="D22" s="2"/>
      <c r="E22" s="2"/>
      <c r="F22" s="2"/>
      <c r="G22" s="2"/>
      <c r="H22" s="3"/>
      <c r="I22" s="2"/>
      <c r="J22" s="17"/>
    </row>
    <row r="23" spans="1:13" ht="15" x14ac:dyDescent="0.2">
      <c r="A23" s="5"/>
      <c r="B23" s="2"/>
      <c r="C23" s="2"/>
      <c r="D23" s="2"/>
      <c r="E23" s="2"/>
      <c r="F23" s="2"/>
      <c r="G23" s="2"/>
      <c r="H23" s="3"/>
      <c r="I23" s="2"/>
    </row>
    <row r="24" spans="1:13" ht="15" x14ac:dyDescent="0.2">
      <c r="A24" s="5"/>
      <c r="B24" s="2"/>
      <c r="C24" s="2"/>
      <c r="D24" s="2"/>
      <c r="E24" s="2"/>
      <c r="F24" s="2"/>
      <c r="G24" s="2"/>
      <c r="H24" s="3"/>
      <c r="I24" s="2"/>
    </row>
    <row r="25" spans="1:13" ht="15" x14ac:dyDescent="0.2">
      <c r="A25" s="5"/>
      <c r="B25" s="2"/>
      <c r="G25" s="2"/>
      <c r="H25" s="3"/>
      <c r="I25" s="2"/>
    </row>
    <row r="26" spans="1:13" ht="15" x14ac:dyDescent="0.2">
      <c r="A26" s="5"/>
      <c r="B26" s="2"/>
      <c r="C26" s="2"/>
      <c r="G26" s="2"/>
      <c r="H26" s="3"/>
      <c r="I26" s="2"/>
    </row>
    <row r="27" spans="1:13" ht="15" x14ac:dyDescent="0.2">
      <c r="A27" s="5"/>
      <c r="B27" s="2"/>
      <c r="D27" s="2"/>
      <c r="G27" s="2"/>
      <c r="H27" s="3"/>
      <c r="I27" s="2"/>
    </row>
    <row r="28" spans="1:13" ht="15" x14ac:dyDescent="0.2">
      <c r="A28" s="5"/>
      <c r="B28" s="2"/>
      <c r="G28" s="2"/>
      <c r="H28" s="3"/>
      <c r="I28" s="2"/>
    </row>
    <row r="29" spans="1:13" ht="15" x14ac:dyDescent="0.2">
      <c r="A29" s="5"/>
      <c r="B29" s="2"/>
      <c r="G29" s="2"/>
      <c r="H29" s="3"/>
      <c r="I29" s="2"/>
    </row>
  </sheetData>
  <pageMargins left="0.7" right="0.7" top="0.75" bottom="0.75" header="0.3" footer="0.3"/>
  <pageSetup scale="88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6E5B-0514-A944-8969-52D196AD84C4}">
  <sheetPr>
    <pageSetUpPr fitToPage="1"/>
  </sheetPr>
  <dimension ref="A1:U16"/>
  <sheetViews>
    <sheetView zoomScale="125" workbookViewId="0">
      <selection activeCell="T28" sqref="T28"/>
    </sheetView>
  </sheetViews>
  <sheetFormatPr baseColWidth="10" defaultRowHeight="13" x14ac:dyDescent="0.2"/>
  <cols>
    <col min="1" max="1" width="5.1640625" bestFit="1" customWidth="1"/>
    <col min="2" max="2" width="13.5" bestFit="1" customWidth="1"/>
    <col min="3" max="3" width="13.6640625" bestFit="1" customWidth="1"/>
    <col min="4" max="4" width="4.83203125" bestFit="1" customWidth="1"/>
    <col min="5" max="5" width="5.1640625" bestFit="1" customWidth="1"/>
    <col min="6" max="6" width="6.1640625" bestFit="1" customWidth="1"/>
    <col min="7" max="7" width="5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5.33203125" bestFit="1" customWidth="1"/>
    <col min="12" max="14" width="5.1640625" bestFit="1" customWidth="1"/>
    <col min="15" max="15" width="5.33203125" bestFit="1" customWidth="1"/>
  </cols>
  <sheetData>
    <row r="1" spans="1:21" x14ac:dyDescent="0.2">
      <c r="A1" t="s">
        <v>32</v>
      </c>
      <c r="B1" t="s">
        <v>18</v>
      </c>
      <c r="C1" t="s">
        <v>19</v>
      </c>
      <c r="D1" t="s">
        <v>24</v>
      </c>
      <c r="E1" t="s">
        <v>25</v>
      </c>
      <c r="F1" t="s">
        <v>26</v>
      </c>
      <c r="G1" t="s">
        <v>27</v>
      </c>
      <c r="H1" t="s">
        <v>20</v>
      </c>
      <c r="I1" t="s">
        <v>21</v>
      </c>
      <c r="J1" t="s">
        <v>22</v>
      </c>
      <c r="K1" t="s">
        <v>23</v>
      </c>
      <c r="L1" t="s">
        <v>28</v>
      </c>
      <c r="M1" t="s">
        <v>29</v>
      </c>
      <c r="N1" t="s">
        <v>30</v>
      </c>
      <c r="O1" t="s">
        <v>31</v>
      </c>
    </row>
    <row r="2" spans="1:21" x14ac:dyDescent="0.2">
      <c r="A2" s="43">
        <v>0.6</v>
      </c>
      <c r="B2" s="44">
        <v>13620</v>
      </c>
      <c r="C2" s="45"/>
      <c r="D2" s="46">
        <v>0</v>
      </c>
      <c r="E2" s="46">
        <v>0</v>
      </c>
      <c r="F2" s="46">
        <v>10000</v>
      </c>
      <c r="G2" s="46">
        <v>0</v>
      </c>
      <c r="H2" s="46">
        <v>3000</v>
      </c>
      <c r="I2" s="46">
        <v>10000</v>
      </c>
      <c r="J2" s="46">
        <v>2000</v>
      </c>
      <c r="K2" s="46">
        <v>0</v>
      </c>
      <c r="L2" s="46">
        <v>5000</v>
      </c>
      <c r="M2" s="46">
        <v>0</v>
      </c>
      <c r="N2" s="46">
        <v>0</v>
      </c>
      <c r="O2" s="46">
        <v>9000</v>
      </c>
    </row>
    <row r="3" spans="1:21" x14ac:dyDescent="0.2">
      <c r="A3" s="43">
        <v>0.61</v>
      </c>
      <c r="B3" s="44">
        <v>13670</v>
      </c>
      <c r="C3" s="44">
        <v>4999.9999999999955</v>
      </c>
      <c r="D3" s="46">
        <v>0</v>
      </c>
      <c r="E3" s="46">
        <v>0</v>
      </c>
      <c r="F3" s="46">
        <v>10000</v>
      </c>
      <c r="G3" s="46">
        <v>0</v>
      </c>
      <c r="H3" s="46">
        <v>3000</v>
      </c>
      <c r="I3" s="46">
        <v>10000</v>
      </c>
      <c r="J3" s="46">
        <v>2000</v>
      </c>
      <c r="K3" s="46">
        <v>0</v>
      </c>
      <c r="L3" s="46">
        <v>5000</v>
      </c>
      <c r="M3" s="46">
        <v>0</v>
      </c>
      <c r="N3" s="46">
        <v>0</v>
      </c>
      <c r="O3" s="46">
        <v>9000</v>
      </c>
    </row>
    <row r="4" spans="1:21" x14ac:dyDescent="0.2">
      <c r="A4" s="43">
        <v>0.62</v>
      </c>
      <c r="B4" s="44">
        <v>13720</v>
      </c>
      <c r="C4" s="44">
        <v>4999.9999999999955</v>
      </c>
      <c r="D4" s="46">
        <v>0</v>
      </c>
      <c r="E4" s="46">
        <v>0</v>
      </c>
      <c r="F4" s="46">
        <v>10000</v>
      </c>
      <c r="G4" s="46">
        <v>0</v>
      </c>
      <c r="H4" s="46">
        <v>3000</v>
      </c>
      <c r="I4" s="46">
        <v>10000</v>
      </c>
      <c r="J4" s="46">
        <v>2000</v>
      </c>
      <c r="K4" s="46">
        <v>0</v>
      </c>
      <c r="L4" s="46">
        <v>5000</v>
      </c>
      <c r="M4" s="46">
        <v>0</v>
      </c>
      <c r="N4" s="46">
        <v>0</v>
      </c>
      <c r="O4" s="46">
        <v>9000</v>
      </c>
    </row>
    <row r="5" spans="1:21" x14ac:dyDescent="0.2">
      <c r="A5" s="40">
        <v>0.63</v>
      </c>
      <c r="B5" s="41">
        <v>13770</v>
      </c>
      <c r="C5" s="41">
        <v>4999.9999999999955</v>
      </c>
      <c r="D5" s="42">
        <v>0</v>
      </c>
      <c r="E5" s="42">
        <v>0</v>
      </c>
      <c r="F5" s="42">
        <v>10000</v>
      </c>
      <c r="G5" s="42">
        <v>0</v>
      </c>
      <c r="H5" s="42">
        <v>3000</v>
      </c>
      <c r="I5" s="42">
        <v>10000</v>
      </c>
      <c r="J5" s="42">
        <v>2000</v>
      </c>
      <c r="K5" s="42">
        <v>0</v>
      </c>
      <c r="L5" s="42">
        <v>5000</v>
      </c>
      <c r="M5" s="42">
        <v>0</v>
      </c>
      <c r="N5" s="42">
        <v>0</v>
      </c>
      <c r="O5" s="42">
        <v>9000</v>
      </c>
    </row>
    <row r="6" spans="1:21" x14ac:dyDescent="0.2">
      <c r="A6" s="40">
        <v>0.64</v>
      </c>
      <c r="B6" s="41">
        <v>13800</v>
      </c>
      <c r="C6" s="41">
        <v>2999.9999999999973</v>
      </c>
      <c r="D6" s="42">
        <v>0</v>
      </c>
      <c r="E6" s="42">
        <v>0</v>
      </c>
      <c r="F6" s="42">
        <v>10000</v>
      </c>
      <c r="G6" s="42">
        <v>0</v>
      </c>
      <c r="H6" s="42">
        <v>5000</v>
      </c>
      <c r="I6" s="42">
        <v>10000</v>
      </c>
      <c r="J6" s="42">
        <v>0</v>
      </c>
      <c r="K6" s="42">
        <v>0</v>
      </c>
      <c r="L6" s="42">
        <v>3000</v>
      </c>
      <c r="M6" s="42">
        <v>0</v>
      </c>
      <c r="N6" s="42">
        <v>2000</v>
      </c>
      <c r="O6" s="42">
        <v>9000</v>
      </c>
    </row>
    <row r="7" spans="1:21" x14ac:dyDescent="0.2">
      <c r="A7" s="40">
        <v>0.65</v>
      </c>
      <c r="B7" s="41">
        <v>13830</v>
      </c>
      <c r="C7" s="41">
        <v>2999.9999999999973</v>
      </c>
      <c r="D7" s="42">
        <v>0</v>
      </c>
      <c r="E7" s="42">
        <v>0</v>
      </c>
      <c r="F7" s="42">
        <v>10000</v>
      </c>
      <c r="G7" s="42">
        <v>0</v>
      </c>
      <c r="H7" s="42">
        <v>5000</v>
      </c>
      <c r="I7" s="42">
        <v>10000</v>
      </c>
      <c r="J7" s="42">
        <v>0</v>
      </c>
      <c r="K7" s="42">
        <v>0</v>
      </c>
      <c r="L7" s="42">
        <v>3000</v>
      </c>
      <c r="M7" s="42">
        <v>0</v>
      </c>
      <c r="N7" s="42">
        <v>2000</v>
      </c>
      <c r="O7" s="42">
        <v>9000</v>
      </c>
      <c r="P7" s="21" t="s">
        <v>33</v>
      </c>
    </row>
    <row r="8" spans="1:21" x14ac:dyDescent="0.2">
      <c r="C8" s="21" t="s">
        <v>38</v>
      </c>
      <c r="D8" s="21" t="s">
        <v>36</v>
      </c>
      <c r="H8" s="21" t="s">
        <v>37</v>
      </c>
      <c r="L8" s="21" t="s">
        <v>34</v>
      </c>
    </row>
    <row r="9" spans="1:21" x14ac:dyDescent="0.2">
      <c r="S9" s="21"/>
    </row>
    <row r="10" spans="1:21" x14ac:dyDescent="0.2">
      <c r="Q10" s="22" t="s">
        <v>39</v>
      </c>
      <c r="R10" s="22" t="s">
        <v>4</v>
      </c>
      <c r="S10" s="22" t="s">
        <v>36</v>
      </c>
      <c r="T10" s="22" t="s">
        <v>37</v>
      </c>
      <c r="U10" s="22" t="s">
        <v>34</v>
      </c>
    </row>
    <row r="11" spans="1:21" x14ac:dyDescent="0.2">
      <c r="Q11" s="43">
        <v>0.6</v>
      </c>
      <c r="R11" s="44">
        <v>13620</v>
      </c>
      <c r="S11" s="46">
        <v>0</v>
      </c>
      <c r="T11" s="46">
        <v>3000</v>
      </c>
      <c r="U11" s="46">
        <v>5000</v>
      </c>
    </row>
    <row r="12" spans="1:21" x14ac:dyDescent="0.2">
      <c r="Q12" s="43">
        <v>0.61</v>
      </c>
      <c r="R12" s="44">
        <v>13670</v>
      </c>
      <c r="S12" s="46">
        <v>0</v>
      </c>
      <c r="T12" s="46">
        <v>3000</v>
      </c>
      <c r="U12" s="46">
        <v>5000</v>
      </c>
    </row>
    <row r="13" spans="1:21" x14ac:dyDescent="0.2">
      <c r="Q13" s="43">
        <v>0.62</v>
      </c>
      <c r="R13" s="44">
        <v>13720</v>
      </c>
      <c r="S13" s="46">
        <v>0</v>
      </c>
      <c r="T13" s="46">
        <v>3000</v>
      </c>
      <c r="U13" s="46">
        <v>5000</v>
      </c>
    </row>
    <row r="14" spans="1:21" x14ac:dyDescent="0.2">
      <c r="Q14" s="43">
        <v>0.63</v>
      </c>
      <c r="R14" s="44">
        <v>13770</v>
      </c>
      <c r="S14" s="46">
        <v>0</v>
      </c>
      <c r="T14" s="46">
        <v>3000</v>
      </c>
      <c r="U14" s="46">
        <v>5000</v>
      </c>
    </row>
    <row r="15" spans="1:21" x14ac:dyDescent="0.2">
      <c r="Q15" s="23">
        <v>0.64</v>
      </c>
      <c r="R15" s="24">
        <v>13800</v>
      </c>
      <c r="S15" s="20">
        <v>0</v>
      </c>
      <c r="T15" s="20">
        <v>5000</v>
      </c>
      <c r="U15" s="20">
        <v>3000</v>
      </c>
    </row>
    <row r="16" spans="1:21" x14ac:dyDescent="0.2">
      <c r="Q16" s="23">
        <v>0.65</v>
      </c>
      <c r="R16" s="24">
        <v>13830</v>
      </c>
      <c r="S16" s="20">
        <v>0</v>
      </c>
      <c r="T16" s="20">
        <v>5000</v>
      </c>
      <c r="U16" s="20">
        <v>3000</v>
      </c>
    </row>
  </sheetData>
  <pageMargins left="0.7" right="0.7" top="0.75" bottom="0.75" header="0.3" footer="0.3"/>
  <pageSetup scale="71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E830-F4AA-194D-A4BF-B5C15ADD54D7}">
  <sheetPr>
    <pageSetUpPr fitToPage="1"/>
  </sheetPr>
  <dimension ref="A1:O46"/>
  <sheetViews>
    <sheetView zoomScale="112" workbookViewId="0">
      <selection activeCell="M30" sqref="M30"/>
    </sheetView>
  </sheetViews>
  <sheetFormatPr baseColWidth="10" defaultRowHeight="13" x14ac:dyDescent="0.2"/>
  <cols>
    <col min="1" max="1" width="8" bestFit="1" customWidth="1"/>
    <col min="2" max="2" width="13.5" bestFit="1" customWidth="1"/>
    <col min="3" max="3" width="16.5" bestFit="1" customWidth="1"/>
    <col min="4" max="4" width="10.83203125" bestFit="1" customWidth="1"/>
    <col min="5" max="5" width="5.1640625" bestFit="1" customWidth="1"/>
    <col min="6" max="7" width="6.1640625" bestFit="1" customWidth="1"/>
    <col min="8" max="8" width="5.1640625" bestFit="1" customWidth="1"/>
    <col min="9" max="9" width="6.1640625" bestFit="1" customWidth="1"/>
    <col min="10" max="10" width="5" bestFit="1" customWidth="1"/>
    <col min="11" max="11" width="5.33203125" bestFit="1" customWidth="1"/>
    <col min="12" max="14" width="5.1640625" bestFit="1" customWidth="1"/>
    <col min="15" max="15" width="5.33203125" bestFit="1" customWidth="1"/>
  </cols>
  <sheetData>
    <row r="1" spans="1:15" x14ac:dyDescent="0.2">
      <c r="A1" t="s">
        <v>40</v>
      </c>
      <c r="B1" t="s">
        <v>18</v>
      </c>
      <c r="C1" t="s">
        <v>19</v>
      </c>
      <c r="D1" t="s">
        <v>24</v>
      </c>
      <c r="E1" t="s">
        <v>25</v>
      </c>
      <c r="F1" t="s">
        <v>26</v>
      </c>
      <c r="G1" t="s">
        <v>27</v>
      </c>
      <c r="H1" t="s">
        <v>20</v>
      </c>
      <c r="I1" t="s">
        <v>21</v>
      </c>
      <c r="J1" t="s">
        <v>22</v>
      </c>
      <c r="K1" t="s">
        <v>23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">
      <c r="A2" s="47">
        <v>10000</v>
      </c>
      <c r="B2" s="48">
        <v>13830</v>
      </c>
      <c r="C2" s="49"/>
      <c r="D2" s="50">
        <v>0</v>
      </c>
      <c r="E2" s="50">
        <v>0</v>
      </c>
      <c r="F2" s="50">
        <v>10000</v>
      </c>
      <c r="G2" s="50">
        <v>0</v>
      </c>
      <c r="H2" s="50">
        <v>5000</v>
      </c>
      <c r="I2" s="50">
        <v>10000</v>
      </c>
      <c r="J2" s="50">
        <v>0</v>
      </c>
      <c r="K2" s="50">
        <v>0</v>
      </c>
      <c r="L2" s="50">
        <v>3000</v>
      </c>
      <c r="M2" s="50">
        <v>0</v>
      </c>
      <c r="N2" s="50">
        <v>2000</v>
      </c>
      <c r="O2" s="50">
        <v>9000</v>
      </c>
    </row>
    <row r="3" spans="1:15" x14ac:dyDescent="0.2">
      <c r="A3" s="47">
        <v>11000</v>
      </c>
      <c r="B3" s="48">
        <v>13500</v>
      </c>
      <c r="C3" s="51">
        <v>-0.33</v>
      </c>
      <c r="D3" s="50">
        <v>0</v>
      </c>
      <c r="E3" s="50">
        <v>0</v>
      </c>
      <c r="F3" s="50">
        <v>11000</v>
      </c>
      <c r="G3" s="50">
        <v>0</v>
      </c>
      <c r="H3" s="50">
        <v>5000</v>
      </c>
      <c r="I3" s="50">
        <v>10000</v>
      </c>
      <c r="J3" s="50">
        <v>0</v>
      </c>
      <c r="K3" s="50">
        <v>0</v>
      </c>
      <c r="L3" s="50">
        <v>3000</v>
      </c>
      <c r="M3" s="50">
        <v>0</v>
      </c>
      <c r="N3" s="50">
        <v>1000</v>
      </c>
      <c r="O3" s="50">
        <v>9000</v>
      </c>
    </row>
    <row r="4" spans="1:15" x14ac:dyDescent="0.2">
      <c r="A4" s="47">
        <v>12000</v>
      </c>
      <c r="B4" s="48">
        <v>13170</v>
      </c>
      <c r="C4" s="51">
        <v>-0.33</v>
      </c>
      <c r="D4" s="50">
        <v>0</v>
      </c>
      <c r="E4" s="50">
        <v>0</v>
      </c>
      <c r="F4" s="50">
        <v>12000</v>
      </c>
      <c r="G4" s="50">
        <v>0</v>
      </c>
      <c r="H4" s="50">
        <v>5000</v>
      </c>
      <c r="I4" s="50">
        <v>10000</v>
      </c>
      <c r="J4" s="50">
        <v>0</v>
      </c>
      <c r="K4" s="50">
        <v>0</v>
      </c>
      <c r="L4" s="50">
        <v>3000</v>
      </c>
      <c r="M4" s="50">
        <v>0</v>
      </c>
      <c r="N4" s="50">
        <v>0</v>
      </c>
      <c r="O4" s="50">
        <v>9000</v>
      </c>
    </row>
    <row r="5" spans="1:15" x14ac:dyDescent="0.2">
      <c r="A5" s="52">
        <v>13000</v>
      </c>
      <c r="B5" s="53">
        <v>13120</v>
      </c>
      <c r="C5" s="54">
        <v>-0.05</v>
      </c>
      <c r="D5" s="55">
        <v>1000</v>
      </c>
      <c r="E5" s="55">
        <v>0</v>
      </c>
      <c r="F5" s="55">
        <v>12000</v>
      </c>
      <c r="G5" s="55">
        <v>0</v>
      </c>
      <c r="H5" s="55">
        <v>5000</v>
      </c>
      <c r="I5" s="55">
        <v>10000</v>
      </c>
      <c r="J5" s="55">
        <v>0</v>
      </c>
      <c r="K5" s="55">
        <v>0</v>
      </c>
      <c r="L5" s="55">
        <v>2000</v>
      </c>
      <c r="M5" s="55">
        <v>0</v>
      </c>
      <c r="N5" s="55">
        <v>0</v>
      </c>
      <c r="O5" s="55">
        <v>9000</v>
      </c>
    </row>
    <row r="6" spans="1:15" x14ac:dyDescent="0.2">
      <c r="A6" s="52">
        <v>14000</v>
      </c>
      <c r="B6" s="53">
        <v>13070</v>
      </c>
      <c r="C6" s="54">
        <v>-0.05</v>
      </c>
      <c r="D6" s="55">
        <v>2000</v>
      </c>
      <c r="E6" s="55">
        <v>0</v>
      </c>
      <c r="F6" s="55">
        <v>12000</v>
      </c>
      <c r="G6" s="55">
        <v>0</v>
      </c>
      <c r="H6" s="55">
        <v>5000</v>
      </c>
      <c r="I6" s="55">
        <v>10000</v>
      </c>
      <c r="J6" s="55">
        <v>0</v>
      </c>
      <c r="K6" s="55">
        <v>0</v>
      </c>
      <c r="L6" s="55">
        <v>1000</v>
      </c>
      <c r="M6" s="55">
        <v>0</v>
      </c>
      <c r="N6" s="55">
        <v>0</v>
      </c>
      <c r="O6" s="55">
        <v>9000</v>
      </c>
    </row>
    <row r="7" spans="1:15" x14ac:dyDescent="0.2">
      <c r="A7" s="52">
        <v>15000</v>
      </c>
      <c r="B7" s="53">
        <v>13020</v>
      </c>
      <c r="C7" s="54">
        <v>-0.05</v>
      </c>
      <c r="D7" s="55">
        <v>3000</v>
      </c>
      <c r="E7" s="55">
        <v>0</v>
      </c>
      <c r="F7" s="55">
        <v>12000</v>
      </c>
      <c r="G7" s="55">
        <v>0</v>
      </c>
      <c r="H7" s="55">
        <v>5000</v>
      </c>
      <c r="I7" s="55">
        <v>10000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9000</v>
      </c>
    </row>
    <row r="8" spans="1:15" x14ac:dyDescent="0.2">
      <c r="A8" s="56">
        <v>16000</v>
      </c>
      <c r="B8" s="57">
        <v>13000</v>
      </c>
      <c r="C8" s="58">
        <v>-0.02</v>
      </c>
      <c r="D8" s="59">
        <v>3000</v>
      </c>
      <c r="E8" s="59">
        <v>0</v>
      </c>
      <c r="F8" s="59">
        <v>12000</v>
      </c>
      <c r="G8" s="59">
        <v>1000</v>
      </c>
      <c r="H8" s="59">
        <v>5000</v>
      </c>
      <c r="I8" s="59">
        <v>10000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8000</v>
      </c>
    </row>
    <row r="9" spans="1:15" x14ac:dyDescent="0.2">
      <c r="A9" s="56">
        <v>17000</v>
      </c>
      <c r="B9" s="57">
        <v>12980</v>
      </c>
      <c r="C9" s="58">
        <v>-0.02</v>
      </c>
      <c r="D9" s="59">
        <v>3000</v>
      </c>
      <c r="E9" s="59">
        <v>0</v>
      </c>
      <c r="F9" s="59">
        <v>12000</v>
      </c>
      <c r="G9" s="59">
        <v>2000</v>
      </c>
      <c r="H9" s="59">
        <v>5000</v>
      </c>
      <c r="I9" s="59">
        <v>10000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7000</v>
      </c>
    </row>
    <row r="10" spans="1:15" x14ac:dyDescent="0.2">
      <c r="A10" s="56">
        <v>18000</v>
      </c>
      <c r="B10" s="57">
        <v>12960</v>
      </c>
      <c r="C10" s="58">
        <v>-0.02</v>
      </c>
      <c r="D10" s="59">
        <v>3000</v>
      </c>
      <c r="E10" s="59">
        <v>0</v>
      </c>
      <c r="F10" s="59">
        <v>12000</v>
      </c>
      <c r="G10" s="59">
        <v>3000</v>
      </c>
      <c r="H10" s="59">
        <v>5000</v>
      </c>
      <c r="I10" s="59">
        <v>10000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6000</v>
      </c>
    </row>
    <row r="11" spans="1:15" x14ac:dyDescent="0.2">
      <c r="A11" s="56">
        <v>19000</v>
      </c>
      <c r="B11" s="57">
        <v>12940</v>
      </c>
      <c r="C11" s="58">
        <v>-0.02</v>
      </c>
      <c r="D11" s="59">
        <v>3000</v>
      </c>
      <c r="E11" s="59">
        <v>0</v>
      </c>
      <c r="F11" s="59">
        <v>12000</v>
      </c>
      <c r="G11" s="59">
        <v>4000</v>
      </c>
      <c r="H11" s="59">
        <v>5000</v>
      </c>
      <c r="I11" s="59">
        <v>10000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5000</v>
      </c>
    </row>
    <row r="12" spans="1:15" x14ac:dyDescent="0.2">
      <c r="A12" s="56">
        <v>20000</v>
      </c>
      <c r="B12" s="57">
        <v>12920</v>
      </c>
      <c r="C12" s="58">
        <v>-0.02</v>
      </c>
      <c r="D12" s="59">
        <v>3000</v>
      </c>
      <c r="E12" s="59">
        <v>0</v>
      </c>
      <c r="F12" s="59">
        <v>12000</v>
      </c>
      <c r="G12" s="59">
        <v>5000</v>
      </c>
      <c r="H12" s="59">
        <v>5000</v>
      </c>
      <c r="I12" s="59">
        <v>10000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4000</v>
      </c>
    </row>
    <row r="13" spans="1:15" x14ac:dyDescent="0.2">
      <c r="A13" s="56">
        <v>21000</v>
      </c>
      <c r="B13" s="57">
        <v>12900</v>
      </c>
      <c r="C13" s="58">
        <v>-0.02</v>
      </c>
      <c r="D13" s="59">
        <v>3000</v>
      </c>
      <c r="E13" s="59">
        <v>0</v>
      </c>
      <c r="F13" s="59">
        <v>12000</v>
      </c>
      <c r="G13" s="59">
        <v>6000</v>
      </c>
      <c r="H13" s="59">
        <v>5000</v>
      </c>
      <c r="I13" s="59">
        <v>10000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3000</v>
      </c>
    </row>
    <row r="14" spans="1:15" x14ac:dyDescent="0.2">
      <c r="A14" s="56">
        <v>22000</v>
      </c>
      <c r="B14" s="57">
        <v>12880</v>
      </c>
      <c r="C14" s="58">
        <v>-0.02</v>
      </c>
      <c r="D14" s="59">
        <v>3000</v>
      </c>
      <c r="E14" s="59">
        <v>0</v>
      </c>
      <c r="F14" s="59">
        <v>12000</v>
      </c>
      <c r="G14" s="59">
        <v>7000</v>
      </c>
      <c r="H14" s="59">
        <v>5000</v>
      </c>
      <c r="I14" s="59">
        <v>10000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2000</v>
      </c>
    </row>
    <row r="15" spans="1:15" x14ac:dyDescent="0.2">
      <c r="A15" s="56">
        <v>23000</v>
      </c>
      <c r="B15" s="57">
        <v>12860</v>
      </c>
      <c r="C15" s="58">
        <v>-0.02</v>
      </c>
      <c r="D15" s="59">
        <v>3000</v>
      </c>
      <c r="E15" s="59">
        <v>0</v>
      </c>
      <c r="F15" s="59">
        <v>12000</v>
      </c>
      <c r="G15" s="59">
        <v>8000</v>
      </c>
      <c r="H15" s="59">
        <v>5000</v>
      </c>
      <c r="I15" s="59">
        <v>10000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1000</v>
      </c>
    </row>
    <row r="16" spans="1:15" x14ac:dyDescent="0.2">
      <c r="A16" s="56">
        <v>24000</v>
      </c>
      <c r="B16" s="57">
        <v>12840</v>
      </c>
      <c r="C16" s="58">
        <v>-0.02</v>
      </c>
      <c r="D16" s="59">
        <v>3000</v>
      </c>
      <c r="E16" s="59">
        <v>0</v>
      </c>
      <c r="F16" s="59">
        <v>12000</v>
      </c>
      <c r="G16" s="59">
        <v>9000</v>
      </c>
      <c r="H16" s="59">
        <v>5000</v>
      </c>
      <c r="I16" s="59">
        <v>10000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</row>
    <row r="17" spans="1:15" x14ac:dyDescent="0.2">
      <c r="A17" s="60">
        <v>25000</v>
      </c>
      <c r="B17" s="61">
        <v>12840</v>
      </c>
      <c r="C17" s="62">
        <v>0</v>
      </c>
      <c r="D17" s="63">
        <v>3000</v>
      </c>
      <c r="E17" s="63">
        <v>0</v>
      </c>
      <c r="F17" s="63">
        <v>12000</v>
      </c>
      <c r="G17" s="63">
        <v>9000</v>
      </c>
      <c r="H17" s="63">
        <v>5000</v>
      </c>
      <c r="I17" s="63">
        <v>10000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</row>
    <row r="18" spans="1:15" x14ac:dyDescent="0.2">
      <c r="A18" s="60">
        <v>26000</v>
      </c>
      <c r="B18" s="61">
        <v>12840</v>
      </c>
      <c r="C18" s="62">
        <v>0</v>
      </c>
      <c r="D18" s="63">
        <v>3000</v>
      </c>
      <c r="E18" s="63">
        <v>0</v>
      </c>
      <c r="F18" s="63">
        <v>12000</v>
      </c>
      <c r="G18" s="63">
        <v>9000</v>
      </c>
      <c r="H18" s="63">
        <v>5000</v>
      </c>
      <c r="I18" s="63">
        <v>10000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</row>
    <row r="19" spans="1:15" x14ac:dyDescent="0.2">
      <c r="A19" s="60">
        <v>27000</v>
      </c>
      <c r="B19" s="61">
        <v>12840</v>
      </c>
      <c r="C19" s="62">
        <v>0</v>
      </c>
      <c r="D19" s="63">
        <v>3000</v>
      </c>
      <c r="E19" s="63">
        <v>0</v>
      </c>
      <c r="F19" s="63">
        <v>12000</v>
      </c>
      <c r="G19" s="63">
        <v>9000</v>
      </c>
      <c r="H19" s="63">
        <v>5000</v>
      </c>
      <c r="I19" s="63">
        <v>10000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</row>
    <row r="20" spans="1:15" x14ac:dyDescent="0.2">
      <c r="A20" s="60">
        <v>28000</v>
      </c>
      <c r="B20" s="61">
        <v>12840</v>
      </c>
      <c r="C20" s="62">
        <v>0</v>
      </c>
      <c r="D20" s="63">
        <v>3000</v>
      </c>
      <c r="E20" s="63">
        <v>0</v>
      </c>
      <c r="F20" s="63">
        <v>12000</v>
      </c>
      <c r="G20" s="63">
        <v>9000</v>
      </c>
      <c r="H20" s="63">
        <v>5000</v>
      </c>
      <c r="I20" s="63">
        <v>10000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</row>
    <row r="21" spans="1:15" x14ac:dyDescent="0.2">
      <c r="A21" s="60">
        <v>29000</v>
      </c>
      <c r="B21" s="61">
        <v>12840</v>
      </c>
      <c r="C21" s="62">
        <v>0</v>
      </c>
      <c r="D21" s="63">
        <v>3000</v>
      </c>
      <c r="E21" s="63">
        <v>0</v>
      </c>
      <c r="F21" s="63">
        <v>12000</v>
      </c>
      <c r="G21" s="63">
        <v>9000</v>
      </c>
      <c r="H21" s="63">
        <v>5000</v>
      </c>
      <c r="I21" s="63">
        <v>10000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</row>
    <row r="22" spans="1:15" x14ac:dyDescent="0.2">
      <c r="A22" s="64">
        <v>30000</v>
      </c>
      <c r="B22" s="65">
        <v>13830</v>
      </c>
      <c r="C22" s="66">
        <v>0.99</v>
      </c>
      <c r="D22" s="67">
        <v>0</v>
      </c>
      <c r="E22" s="67">
        <v>0</v>
      </c>
      <c r="F22" s="67">
        <v>10000</v>
      </c>
      <c r="G22" s="67">
        <v>0</v>
      </c>
      <c r="H22" s="67">
        <v>5000</v>
      </c>
      <c r="I22" s="67">
        <v>10000</v>
      </c>
      <c r="J22" s="67">
        <v>0</v>
      </c>
      <c r="K22" s="67">
        <v>0</v>
      </c>
      <c r="L22" s="67">
        <v>3000</v>
      </c>
      <c r="M22" s="67">
        <v>0</v>
      </c>
      <c r="N22" s="67">
        <v>2000</v>
      </c>
      <c r="O22" s="67">
        <v>9000</v>
      </c>
    </row>
    <row r="23" spans="1:15" x14ac:dyDescent="0.2">
      <c r="C23" s="21" t="s">
        <v>43</v>
      </c>
      <c r="D23" s="21" t="s">
        <v>36</v>
      </c>
      <c r="E23" s="21" t="s">
        <v>44</v>
      </c>
      <c r="F23" s="21" t="s">
        <v>45</v>
      </c>
      <c r="G23" s="21" t="s">
        <v>46</v>
      </c>
    </row>
    <row r="25" spans="1:15" x14ac:dyDescent="0.2">
      <c r="C25" s="35" t="s">
        <v>42</v>
      </c>
      <c r="D25" s="35" t="s">
        <v>35</v>
      </c>
      <c r="E25" s="35" t="s">
        <v>36</v>
      </c>
      <c r="F25" s="35" t="s">
        <v>44</v>
      </c>
      <c r="G25" s="35" t="s">
        <v>45</v>
      </c>
      <c r="H25" s="35" t="s">
        <v>46</v>
      </c>
    </row>
    <row r="26" spans="1:15" x14ac:dyDescent="0.2">
      <c r="C26" s="19">
        <v>10000</v>
      </c>
      <c r="D26" s="17">
        <v>13830</v>
      </c>
      <c r="E26" s="18">
        <v>0</v>
      </c>
      <c r="F26" s="18">
        <v>0</v>
      </c>
      <c r="G26" s="18">
        <v>10000</v>
      </c>
      <c r="H26" s="18">
        <v>0</v>
      </c>
    </row>
    <row r="27" spans="1:15" x14ac:dyDescent="0.2">
      <c r="C27" s="19">
        <v>11000</v>
      </c>
      <c r="D27" s="17">
        <v>13500</v>
      </c>
      <c r="E27" s="18">
        <v>0</v>
      </c>
      <c r="F27" s="18">
        <v>0</v>
      </c>
      <c r="G27" s="18">
        <v>11000</v>
      </c>
      <c r="H27" s="18">
        <v>0</v>
      </c>
    </row>
    <row r="28" spans="1:15" x14ac:dyDescent="0.2">
      <c r="C28" s="19">
        <v>12000</v>
      </c>
      <c r="D28" s="17">
        <v>13170</v>
      </c>
      <c r="E28" s="18">
        <v>0</v>
      </c>
      <c r="F28" s="18">
        <v>0</v>
      </c>
      <c r="G28" s="18">
        <v>12000</v>
      </c>
      <c r="H28" s="18">
        <v>0</v>
      </c>
    </row>
    <row r="29" spans="1:15" x14ac:dyDescent="0.2">
      <c r="C29" s="19">
        <v>13000</v>
      </c>
      <c r="D29" s="17">
        <v>13120</v>
      </c>
      <c r="E29" s="18">
        <v>1000</v>
      </c>
      <c r="F29" s="18">
        <v>0</v>
      </c>
      <c r="G29" s="18">
        <v>12000</v>
      </c>
      <c r="H29" s="18">
        <v>0</v>
      </c>
    </row>
    <row r="30" spans="1:15" x14ac:dyDescent="0.2">
      <c r="C30" s="19">
        <v>14000</v>
      </c>
      <c r="D30" s="17">
        <v>13070</v>
      </c>
      <c r="E30" s="18">
        <v>2000</v>
      </c>
      <c r="F30" s="18">
        <v>0</v>
      </c>
      <c r="G30" s="18">
        <v>12000</v>
      </c>
      <c r="H30" s="18">
        <v>0</v>
      </c>
    </row>
    <row r="31" spans="1:15" x14ac:dyDescent="0.2">
      <c r="C31" s="19">
        <v>15000</v>
      </c>
      <c r="D31" s="17">
        <v>13020</v>
      </c>
      <c r="E31" s="18">
        <v>3000</v>
      </c>
      <c r="F31" s="18">
        <v>0</v>
      </c>
      <c r="G31" s="18">
        <v>12000</v>
      </c>
      <c r="H31" s="18">
        <v>0</v>
      </c>
    </row>
    <row r="32" spans="1:15" x14ac:dyDescent="0.2">
      <c r="C32" s="19">
        <v>16000</v>
      </c>
      <c r="D32" s="17">
        <v>13000</v>
      </c>
      <c r="E32" s="18">
        <v>3000</v>
      </c>
      <c r="F32" s="18">
        <v>0</v>
      </c>
      <c r="G32" s="18">
        <v>12000</v>
      </c>
      <c r="H32" s="18">
        <v>1000</v>
      </c>
    </row>
    <row r="33" spans="3:8" x14ac:dyDescent="0.2">
      <c r="C33" s="19">
        <v>17000</v>
      </c>
      <c r="D33" s="17">
        <v>12980</v>
      </c>
      <c r="E33" s="18">
        <v>3000</v>
      </c>
      <c r="F33" s="18">
        <v>0</v>
      </c>
      <c r="G33" s="18">
        <v>12000</v>
      </c>
      <c r="H33" s="18">
        <v>2000</v>
      </c>
    </row>
    <row r="34" spans="3:8" x14ac:dyDescent="0.2">
      <c r="C34" s="19">
        <v>18000</v>
      </c>
      <c r="D34" s="17">
        <v>12960</v>
      </c>
      <c r="E34" s="18">
        <v>3000</v>
      </c>
      <c r="F34" s="18">
        <v>0</v>
      </c>
      <c r="G34" s="18">
        <v>12000</v>
      </c>
      <c r="H34" s="18">
        <v>3000</v>
      </c>
    </row>
    <row r="35" spans="3:8" x14ac:dyDescent="0.2">
      <c r="C35" s="19">
        <v>19000</v>
      </c>
      <c r="D35" s="17">
        <v>12940</v>
      </c>
      <c r="E35" s="18">
        <v>3000</v>
      </c>
      <c r="F35" s="18">
        <v>0</v>
      </c>
      <c r="G35" s="18">
        <v>12000</v>
      </c>
      <c r="H35" s="18">
        <v>4000</v>
      </c>
    </row>
    <row r="36" spans="3:8" x14ac:dyDescent="0.2">
      <c r="C36" s="19">
        <v>20000</v>
      </c>
      <c r="D36" s="17">
        <v>12920</v>
      </c>
      <c r="E36" s="18">
        <v>3000</v>
      </c>
      <c r="F36" s="18">
        <v>0</v>
      </c>
      <c r="G36" s="18">
        <v>12000</v>
      </c>
      <c r="H36" s="18">
        <v>5000</v>
      </c>
    </row>
    <row r="37" spans="3:8" x14ac:dyDescent="0.2">
      <c r="C37" s="19">
        <v>21000</v>
      </c>
      <c r="D37" s="17">
        <v>12900</v>
      </c>
      <c r="E37" s="18">
        <v>3000</v>
      </c>
      <c r="F37" s="18">
        <v>0</v>
      </c>
      <c r="G37" s="18">
        <v>12000</v>
      </c>
      <c r="H37" s="18">
        <v>6000</v>
      </c>
    </row>
    <row r="38" spans="3:8" x14ac:dyDescent="0.2">
      <c r="C38" s="19">
        <v>22000</v>
      </c>
      <c r="D38" s="17">
        <v>12880</v>
      </c>
      <c r="E38" s="18">
        <v>3000</v>
      </c>
      <c r="F38" s="18">
        <v>0</v>
      </c>
      <c r="G38" s="18">
        <v>12000</v>
      </c>
      <c r="H38" s="18">
        <v>7000</v>
      </c>
    </row>
    <row r="39" spans="3:8" x14ac:dyDescent="0.2">
      <c r="C39" s="19">
        <v>23000</v>
      </c>
      <c r="D39" s="17">
        <v>12860</v>
      </c>
      <c r="E39" s="18">
        <v>3000</v>
      </c>
      <c r="F39" s="18">
        <v>0</v>
      </c>
      <c r="G39" s="18">
        <v>12000</v>
      </c>
      <c r="H39" s="18">
        <v>8000</v>
      </c>
    </row>
    <row r="40" spans="3:8" x14ac:dyDescent="0.2">
      <c r="C40" s="19">
        <v>24000</v>
      </c>
      <c r="D40" s="17">
        <v>12840</v>
      </c>
      <c r="E40" s="18">
        <v>3000</v>
      </c>
      <c r="F40" s="18">
        <v>0</v>
      </c>
      <c r="G40" s="18">
        <v>12000</v>
      </c>
      <c r="H40" s="18">
        <v>9000</v>
      </c>
    </row>
    <row r="41" spans="3:8" x14ac:dyDescent="0.2">
      <c r="C41" s="19">
        <v>25000</v>
      </c>
      <c r="D41" s="17">
        <v>12840</v>
      </c>
      <c r="E41" s="18">
        <v>3000</v>
      </c>
      <c r="F41" s="18">
        <v>0</v>
      </c>
      <c r="G41" s="18">
        <v>12000</v>
      </c>
      <c r="H41" s="18">
        <v>9000</v>
      </c>
    </row>
    <row r="42" spans="3:8" x14ac:dyDescent="0.2">
      <c r="C42" s="19">
        <v>26000</v>
      </c>
      <c r="D42" s="17">
        <v>12840</v>
      </c>
      <c r="E42" s="18">
        <v>3000</v>
      </c>
      <c r="F42" s="18">
        <v>0</v>
      </c>
      <c r="G42" s="18">
        <v>12000</v>
      </c>
      <c r="H42" s="18">
        <v>9000</v>
      </c>
    </row>
    <row r="43" spans="3:8" x14ac:dyDescent="0.2">
      <c r="C43" s="19">
        <v>27000</v>
      </c>
      <c r="D43" s="17">
        <v>12840</v>
      </c>
      <c r="E43" s="18">
        <v>3000</v>
      </c>
      <c r="F43" s="18">
        <v>0</v>
      </c>
      <c r="G43" s="18">
        <v>12000</v>
      </c>
      <c r="H43" s="18">
        <v>9000</v>
      </c>
    </row>
    <row r="44" spans="3:8" x14ac:dyDescent="0.2">
      <c r="C44" s="19">
        <v>28000</v>
      </c>
      <c r="D44" s="17">
        <v>12840</v>
      </c>
      <c r="E44" s="18">
        <v>3000</v>
      </c>
      <c r="F44" s="18">
        <v>0</v>
      </c>
      <c r="G44" s="18">
        <v>12000</v>
      </c>
      <c r="H44" s="18">
        <v>9000</v>
      </c>
    </row>
    <row r="45" spans="3:8" x14ac:dyDescent="0.2">
      <c r="C45" s="19">
        <v>29000</v>
      </c>
      <c r="D45" s="17">
        <v>12840</v>
      </c>
      <c r="E45" s="18">
        <v>3000</v>
      </c>
      <c r="F45" s="18">
        <v>0</v>
      </c>
      <c r="G45" s="18">
        <v>12000</v>
      </c>
      <c r="H45" s="18">
        <v>9000</v>
      </c>
    </row>
    <row r="46" spans="3:8" x14ac:dyDescent="0.2">
      <c r="C46" s="19">
        <v>30000</v>
      </c>
      <c r="D46" s="17">
        <v>13830</v>
      </c>
      <c r="E46" s="18">
        <v>0</v>
      </c>
      <c r="F46" s="18">
        <v>0</v>
      </c>
      <c r="G46" s="18">
        <v>10000</v>
      </c>
      <c r="H46" s="18">
        <v>0</v>
      </c>
    </row>
  </sheetData>
  <pageMargins left="0.7" right="0.7" top="0.75" bottom="0.75" header="0.3" footer="0.3"/>
  <pageSetup scale="50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8E18-C2AE-C641-81AF-BA1C363742DC}">
  <sheetPr>
    <pageSetUpPr fitToPage="1"/>
  </sheetPr>
  <dimension ref="A1:H30"/>
  <sheetViews>
    <sheetView workbookViewId="0">
      <selection activeCell="D30" sqref="D30"/>
    </sheetView>
  </sheetViews>
  <sheetFormatPr baseColWidth="10" defaultRowHeight="16" x14ac:dyDescent="0.2"/>
  <cols>
    <col min="1" max="1" width="32" style="25" bestFit="1" customWidth="1"/>
    <col min="2" max="2" width="27.5" style="25" bestFit="1" customWidth="1"/>
    <col min="3" max="3" width="24.5" style="25" bestFit="1" customWidth="1"/>
    <col min="4" max="4" width="27.5" style="25" bestFit="1" customWidth="1"/>
    <col min="5" max="5" width="23" style="25" bestFit="1" customWidth="1"/>
    <col min="6" max="6" width="13" style="25" bestFit="1" customWidth="1"/>
    <col min="7" max="7" width="14" style="25" bestFit="1" customWidth="1"/>
    <col min="8" max="16384" width="10.83203125" style="25"/>
  </cols>
  <sheetData>
    <row r="1" spans="1:6" x14ac:dyDescent="0.2">
      <c r="A1" s="28" t="s">
        <v>77</v>
      </c>
    </row>
    <row r="3" spans="1:6" x14ac:dyDescent="0.2">
      <c r="A3" s="28" t="s">
        <v>76</v>
      </c>
    </row>
    <row r="4" spans="1:6" x14ac:dyDescent="0.2">
      <c r="B4" s="25" t="s">
        <v>75</v>
      </c>
      <c r="C4" s="25" t="s">
        <v>74</v>
      </c>
      <c r="D4" s="25" t="s">
        <v>73</v>
      </c>
      <c r="E4" s="25" t="s">
        <v>72</v>
      </c>
    </row>
    <row r="5" spans="1:6" x14ac:dyDescent="0.2">
      <c r="A5" s="27" t="s">
        <v>71</v>
      </c>
      <c r="B5" s="25">
        <v>18.8</v>
      </c>
      <c r="C5" s="25">
        <v>16</v>
      </c>
      <c r="D5" s="25">
        <v>21.5</v>
      </c>
      <c r="E5" s="25">
        <v>21.5</v>
      </c>
    </row>
    <row r="6" spans="1:6" x14ac:dyDescent="0.2">
      <c r="A6" s="27" t="s">
        <v>70</v>
      </c>
      <c r="B6" s="25">
        <v>29.5</v>
      </c>
      <c r="C6" s="25">
        <v>28</v>
      </c>
      <c r="D6" s="25">
        <v>29.5</v>
      </c>
      <c r="E6" s="25">
        <v>28</v>
      </c>
    </row>
    <row r="8" spans="1:6" x14ac:dyDescent="0.2">
      <c r="A8" s="29" t="s">
        <v>69</v>
      </c>
    </row>
    <row r="9" spans="1:6" x14ac:dyDescent="0.2">
      <c r="B9" s="25" t="s">
        <v>68</v>
      </c>
      <c r="C9" s="25" t="s">
        <v>67</v>
      </c>
      <c r="D9" s="25" t="s">
        <v>66</v>
      </c>
      <c r="E9" s="25" t="s">
        <v>65</v>
      </c>
    </row>
    <row r="10" spans="1:6" x14ac:dyDescent="0.2">
      <c r="A10" s="25" t="s">
        <v>64</v>
      </c>
      <c r="B10" s="25">
        <v>6666.666666666667</v>
      </c>
      <c r="C10" s="25">
        <v>10000</v>
      </c>
      <c r="D10" s="25">
        <v>13333.333333333332</v>
      </c>
      <c r="E10" s="25">
        <v>0</v>
      </c>
    </row>
    <row r="12" spans="1:6" x14ac:dyDescent="0.2">
      <c r="E12" s="25" t="s">
        <v>63</v>
      </c>
      <c r="F12" s="25">
        <f>SUMPRODUCT(B6:E6,B10:E10)</f>
        <v>870000</v>
      </c>
    </row>
    <row r="13" spans="1:6" x14ac:dyDescent="0.2">
      <c r="E13" s="25" t="s">
        <v>62</v>
      </c>
      <c r="F13" s="25">
        <f>SUMPRODUCT(B10:E10,B5:E5)</f>
        <v>572000</v>
      </c>
    </row>
    <row r="14" spans="1:6" x14ac:dyDescent="0.2">
      <c r="E14" s="25" t="s">
        <v>61</v>
      </c>
      <c r="F14" s="25">
        <f>F12-F13</f>
        <v>298000</v>
      </c>
    </row>
    <row r="16" spans="1:6" x14ac:dyDescent="0.2">
      <c r="A16" s="28" t="s">
        <v>60</v>
      </c>
    </row>
    <row r="17" spans="1:8" x14ac:dyDescent="0.2">
      <c r="A17" s="27"/>
      <c r="B17" s="25" t="s">
        <v>59</v>
      </c>
      <c r="C17" s="25" t="s">
        <v>58</v>
      </c>
      <c r="D17" s="25" t="s">
        <v>57</v>
      </c>
      <c r="E17" s="25" t="s">
        <v>56</v>
      </c>
      <c r="F17" s="25" t="s">
        <v>2</v>
      </c>
      <c r="H17" s="25" t="s">
        <v>55</v>
      </c>
    </row>
    <row r="18" spans="1:8" x14ac:dyDescent="0.2">
      <c r="A18" s="27" t="s">
        <v>54</v>
      </c>
      <c r="B18" s="25">
        <v>0.15</v>
      </c>
      <c r="C18" s="25">
        <v>0.1</v>
      </c>
      <c r="F18" s="25">
        <f>SUMPRODUCT($B$10:$E$10,B18:E18)</f>
        <v>2000</v>
      </c>
      <c r="G18" s="25" t="s">
        <v>50</v>
      </c>
      <c r="H18" s="25">
        <v>2000</v>
      </c>
    </row>
    <row r="19" spans="1:8" x14ac:dyDescent="0.2">
      <c r="A19" s="27" t="s">
        <v>53</v>
      </c>
      <c r="B19" s="25">
        <v>0.2</v>
      </c>
      <c r="C19" s="25">
        <v>0.2</v>
      </c>
      <c r="F19" s="25">
        <f t="shared" ref="F19:F23" si="0">SUMPRODUCT($B$10:$E$10,B19:E19)</f>
        <v>3333.3333333333335</v>
      </c>
      <c r="G19" s="25" t="s">
        <v>50</v>
      </c>
      <c r="H19" s="25">
        <v>4200</v>
      </c>
    </row>
    <row r="20" spans="1:8" x14ac:dyDescent="0.2">
      <c r="A20" s="27" t="s">
        <v>52</v>
      </c>
      <c r="B20" s="25">
        <v>0.1</v>
      </c>
      <c r="C20" s="25">
        <v>0.15</v>
      </c>
      <c r="F20" s="25">
        <f t="shared" si="0"/>
        <v>2166.666666666667</v>
      </c>
      <c r="G20" s="25" t="s">
        <v>50</v>
      </c>
      <c r="H20" s="25">
        <v>2500</v>
      </c>
    </row>
    <row r="21" spans="1:8" x14ac:dyDescent="0.2">
      <c r="A21" s="27" t="s">
        <v>51</v>
      </c>
      <c r="D21" s="25">
        <v>1</v>
      </c>
      <c r="E21" s="25">
        <v>1</v>
      </c>
      <c r="F21" s="25">
        <f t="shared" si="0"/>
        <v>13333.333333333332</v>
      </c>
      <c r="G21" s="25" t="s">
        <v>50</v>
      </c>
      <c r="H21" s="25">
        <v>20000</v>
      </c>
    </row>
    <row r="22" spans="1:8" x14ac:dyDescent="0.2">
      <c r="A22" s="27" t="s">
        <v>49</v>
      </c>
      <c r="B22" s="25">
        <v>1</v>
      </c>
      <c r="D22" s="25">
        <v>1</v>
      </c>
      <c r="F22" s="25">
        <f t="shared" si="0"/>
        <v>20000</v>
      </c>
      <c r="G22" s="26" t="s">
        <v>47</v>
      </c>
      <c r="H22" s="25">
        <v>20000</v>
      </c>
    </row>
    <row r="23" spans="1:8" x14ac:dyDescent="0.2">
      <c r="A23" s="27" t="s">
        <v>48</v>
      </c>
      <c r="C23" s="25">
        <v>1</v>
      </c>
      <c r="E23" s="25">
        <v>1</v>
      </c>
      <c r="F23" s="25">
        <f t="shared" si="0"/>
        <v>10000</v>
      </c>
      <c r="G23" s="26" t="s">
        <v>47</v>
      </c>
      <c r="H23" s="25">
        <v>10000</v>
      </c>
    </row>
    <row r="30" spans="1:8" x14ac:dyDescent="0.2">
      <c r="D30" s="68" t="s">
        <v>152</v>
      </c>
    </row>
  </sheetData>
  <pageMargins left="0.7" right="0.7" top="0.75" bottom="0.75" header="0.3" footer="0.3"/>
  <pageSetup scale="66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A551-3DF8-3E4A-AE6C-E6C14A1E69CF}">
  <dimension ref="A1:J27"/>
  <sheetViews>
    <sheetView showGridLines="0" tabSelected="1" zoomScale="125" workbookViewId="0">
      <selection activeCell="F27" sqref="F27"/>
    </sheetView>
  </sheetViews>
  <sheetFormatPr baseColWidth="10" defaultRowHeight="13" x14ac:dyDescent="0.2"/>
  <cols>
    <col min="1" max="1" width="2.33203125" customWidth="1"/>
    <col min="2" max="2" width="6.1640625" bestFit="1" customWidth="1"/>
    <col min="3" max="3" width="22.33203125" bestFit="1" customWidth="1"/>
    <col min="4" max="4" width="12.1640625" bestFit="1" customWidth="1"/>
    <col min="5" max="5" width="7.5" bestFit="1" customWidth="1"/>
    <col min="6" max="6" width="9.1640625" bestFit="1" customWidth="1"/>
    <col min="7" max="8" width="12.1640625" bestFit="1" customWidth="1"/>
  </cols>
  <sheetData>
    <row r="1" spans="1:8" x14ac:dyDescent="0.2">
      <c r="A1" s="13" t="s">
        <v>86</v>
      </c>
    </row>
    <row r="2" spans="1:8" x14ac:dyDescent="0.2">
      <c r="A2" s="13" t="s">
        <v>87</v>
      </c>
    </row>
    <row r="3" spans="1:8" x14ac:dyDescent="0.2">
      <c r="A3" s="13" t="s">
        <v>88</v>
      </c>
    </row>
    <row r="6" spans="1:8" ht="14" thickBot="1" x14ac:dyDescent="0.25">
      <c r="A6" t="s">
        <v>89</v>
      </c>
    </row>
    <row r="7" spans="1:8" x14ac:dyDescent="0.2">
      <c r="B7" s="33"/>
      <c r="C7" s="33"/>
      <c r="D7" s="33" t="s">
        <v>92</v>
      </c>
      <c r="E7" s="33" t="s">
        <v>94</v>
      </c>
      <c r="F7" s="33" t="s">
        <v>4</v>
      </c>
      <c r="G7" s="33" t="s">
        <v>96</v>
      </c>
      <c r="H7" s="33" t="s">
        <v>96</v>
      </c>
    </row>
    <row r="8" spans="1:8" ht="14" thickBot="1" x14ac:dyDescent="0.25">
      <c r="B8" s="34" t="s">
        <v>90</v>
      </c>
      <c r="C8" s="34" t="s">
        <v>91</v>
      </c>
      <c r="D8" s="34" t="s">
        <v>93</v>
      </c>
      <c r="E8" s="34" t="s">
        <v>41</v>
      </c>
      <c r="F8" s="34" t="s">
        <v>95</v>
      </c>
      <c r="G8" s="34" t="s">
        <v>97</v>
      </c>
      <c r="H8" s="34" t="s">
        <v>98</v>
      </c>
    </row>
    <row r="9" spans="1:8" x14ac:dyDescent="0.2">
      <c r="B9" s="31" t="s">
        <v>80</v>
      </c>
      <c r="C9" s="31" t="s">
        <v>103</v>
      </c>
      <c r="D9" s="31">
        <v>6666.666666666667</v>
      </c>
      <c r="E9" s="31">
        <v>0</v>
      </c>
      <c r="F9" s="31">
        <v>10.7</v>
      </c>
      <c r="G9" s="31">
        <v>5.5500000000000034</v>
      </c>
      <c r="H9" s="31">
        <v>2.6999999999999988</v>
      </c>
    </row>
    <row r="10" spans="1:8" x14ac:dyDescent="0.2">
      <c r="B10" s="31" t="s">
        <v>81</v>
      </c>
      <c r="C10" s="31" t="s">
        <v>104</v>
      </c>
      <c r="D10" s="31">
        <v>10000</v>
      </c>
      <c r="E10" s="31">
        <v>0</v>
      </c>
      <c r="F10" s="31">
        <v>12.000000000000004</v>
      </c>
      <c r="G10" s="31">
        <v>1E+30</v>
      </c>
      <c r="H10" s="31">
        <v>3.7000000000000028</v>
      </c>
    </row>
    <row r="11" spans="1:8" x14ac:dyDescent="0.2">
      <c r="B11" s="31" t="s">
        <v>82</v>
      </c>
      <c r="C11" s="31" t="s">
        <v>105</v>
      </c>
      <c r="D11" s="31">
        <v>13333.333333333332</v>
      </c>
      <c r="E11" s="31">
        <v>0</v>
      </c>
      <c r="F11" s="31">
        <v>8</v>
      </c>
      <c r="G11" s="31">
        <v>2.6999999999999988</v>
      </c>
      <c r="H11" s="31">
        <v>5.5500000000000034</v>
      </c>
    </row>
    <row r="12" spans="1:8" ht="14" thickBot="1" x14ac:dyDescent="0.25">
      <c r="B12" s="32" t="s">
        <v>83</v>
      </c>
      <c r="C12" s="32" t="s">
        <v>106</v>
      </c>
      <c r="D12" s="32">
        <v>0</v>
      </c>
      <c r="E12" s="32">
        <v>-3.7000000000000028</v>
      </c>
      <c r="F12" s="32">
        <v>6.5</v>
      </c>
      <c r="G12" s="32">
        <v>3.7000000000000028</v>
      </c>
      <c r="H12" s="32">
        <v>1E+30</v>
      </c>
    </row>
    <row r="14" spans="1:8" ht="14" thickBot="1" x14ac:dyDescent="0.25">
      <c r="A14" t="s">
        <v>0</v>
      </c>
    </row>
    <row r="15" spans="1:8" x14ac:dyDescent="0.2">
      <c r="B15" s="33"/>
      <c r="C15" s="33"/>
      <c r="D15" s="33" t="s">
        <v>92</v>
      </c>
      <c r="E15" s="33" t="s">
        <v>99</v>
      </c>
      <c r="F15" s="33" t="s">
        <v>101</v>
      </c>
      <c r="G15" s="33" t="s">
        <v>96</v>
      </c>
      <c r="H15" s="33" t="s">
        <v>96</v>
      </c>
    </row>
    <row r="16" spans="1:8" ht="14" thickBot="1" x14ac:dyDescent="0.25">
      <c r="B16" s="34" t="s">
        <v>90</v>
      </c>
      <c r="C16" s="34" t="s">
        <v>91</v>
      </c>
      <c r="D16" s="34" t="s">
        <v>93</v>
      </c>
      <c r="E16" s="34" t="s">
        <v>100</v>
      </c>
      <c r="F16" s="34" t="s">
        <v>102</v>
      </c>
      <c r="G16" s="34" t="s">
        <v>97</v>
      </c>
      <c r="H16" s="34" t="s">
        <v>98</v>
      </c>
    </row>
    <row r="17" spans="2:10" x14ac:dyDescent="0.2">
      <c r="B17" s="31" t="s">
        <v>107</v>
      </c>
      <c r="C17" s="31" t="s">
        <v>108</v>
      </c>
      <c r="D17" s="31">
        <v>2000</v>
      </c>
      <c r="E17" s="31">
        <v>17.999999999999993</v>
      </c>
      <c r="F17" s="31">
        <v>2000</v>
      </c>
      <c r="G17" s="31">
        <v>500</v>
      </c>
      <c r="H17" s="31">
        <v>1000</v>
      </c>
      <c r="J17" s="21"/>
    </row>
    <row r="18" spans="2:10" x14ac:dyDescent="0.2">
      <c r="B18" s="31" t="s">
        <v>109</v>
      </c>
      <c r="C18" s="31" t="s">
        <v>110</v>
      </c>
      <c r="D18" s="31">
        <v>3333.3333333333335</v>
      </c>
      <c r="E18" s="31">
        <v>0</v>
      </c>
      <c r="F18" s="31">
        <v>4200</v>
      </c>
      <c r="G18" s="31">
        <v>1E+30</v>
      </c>
      <c r="H18" s="31">
        <v>866.66666666666652</v>
      </c>
    </row>
    <row r="19" spans="2:10" x14ac:dyDescent="0.2">
      <c r="B19" s="31" t="s">
        <v>111</v>
      </c>
      <c r="C19" s="31" t="s">
        <v>112</v>
      </c>
      <c r="D19" s="31">
        <v>2166.666666666667</v>
      </c>
      <c r="E19" s="31">
        <v>0</v>
      </c>
      <c r="F19" s="31">
        <v>2500</v>
      </c>
      <c r="G19" s="31">
        <v>1E+30</v>
      </c>
      <c r="H19" s="31">
        <v>333.33333333333337</v>
      </c>
    </row>
    <row r="20" spans="2:10" x14ac:dyDescent="0.2">
      <c r="B20" s="31" t="s">
        <v>113</v>
      </c>
      <c r="C20" s="31" t="s">
        <v>114</v>
      </c>
      <c r="D20" s="31">
        <v>13333.333333333332</v>
      </c>
      <c r="E20" s="31">
        <v>0</v>
      </c>
      <c r="F20" s="31">
        <v>20000</v>
      </c>
      <c r="G20" s="31">
        <v>1E+30</v>
      </c>
      <c r="H20" s="31">
        <v>6666.666666666667</v>
      </c>
    </row>
    <row r="21" spans="2:10" x14ac:dyDescent="0.2">
      <c r="B21" s="31" t="s">
        <v>115</v>
      </c>
      <c r="C21" s="31" t="s">
        <v>116</v>
      </c>
      <c r="D21" s="31">
        <v>20000</v>
      </c>
      <c r="E21" s="31">
        <v>8</v>
      </c>
      <c r="F21" s="31">
        <v>20000</v>
      </c>
      <c r="G21" s="31">
        <v>6666.666666666667</v>
      </c>
      <c r="H21" s="31">
        <v>13333.333333333332</v>
      </c>
    </row>
    <row r="22" spans="2:10" ht="14" thickBot="1" x14ac:dyDescent="0.25">
      <c r="B22" s="32" t="s">
        <v>117</v>
      </c>
      <c r="C22" s="32" t="s">
        <v>118</v>
      </c>
      <c r="D22" s="32">
        <v>10000</v>
      </c>
      <c r="E22" s="32">
        <v>10.200000000000003</v>
      </c>
      <c r="F22" s="32">
        <v>10000</v>
      </c>
      <c r="G22" s="32">
        <v>4000.0000000000014</v>
      </c>
      <c r="H22" s="32">
        <v>10000</v>
      </c>
    </row>
    <row r="24" spans="2:10" x14ac:dyDescent="0.2">
      <c r="B24" s="21" t="s">
        <v>120</v>
      </c>
    </row>
    <row r="25" spans="2:10" x14ac:dyDescent="0.2">
      <c r="B25" s="21" t="s">
        <v>121</v>
      </c>
    </row>
    <row r="27" spans="2:10" x14ac:dyDescent="0.2">
      <c r="F27" s="21" t="s">
        <v>14</v>
      </c>
    </row>
  </sheetData>
  <pageMargins left="0.7" right="0.7" top="0.75" bottom="0.75" header="0.3" footer="0.3"/>
  <pageSetup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0A50-EF74-8349-B0AA-75C03958C555}">
  <sheetPr>
    <pageSetUpPr fitToPage="1"/>
  </sheetPr>
  <dimension ref="A1:H30"/>
  <sheetViews>
    <sheetView workbookViewId="0">
      <selection activeCell="J34" sqref="J34"/>
    </sheetView>
  </sheetViews>
  <sheetFormatPr baseColWidth="10" defaultRowHeight="13" x14ac:dyDescent="0.2"/>
  <cols>
    <col min="1" max="1" width="6.1640625" bestFit="1" customWidth="1"/>
    <col min="2" max="2" width="13.6640625" bestFit="1" customWidth="1"/>
    <col min="3" max="3" width="12.83203125" bestFit="1" customWidth="1"/>
    <col min="4" max="4" width="12.1640625" bestFit="1" customWidth="1"/>
    <col min="5" max="5" width="6.1640625" bestFit="1" customWidth="1"/>
    <col min="6" max="6" width="13.5" bestFit="1" customWidth="1"/>
    <col min="7" max="7" width="7.83203125" bestFit="1" customWidth="1"/>
  </cols>
  <sheetData>
    <row r="1" spans="1:8" x14ac:dyDescent="0.2">
      <c r="A1" t="s">
        <v>78</v>
      </c>
      <c r="B1" t="s">
        <v>79</v>
      </c>
      <c r="C1" t="s">
        <v>19</v>
      </c>
      <c r="D1" t="s">
        <v>80</v>
      </c>
      <c r="E1" t="s">
        <v>81</v>
      </c>
      <c r="F1" t="s">
        <v>82</v>
      </c>
      <c r="G1" t="s">
        <v>83</v>
      </c>
    </row>
    <row r="2" spans="1:8" x14ac:dyDescent="0.2">
      <c r="A2">
        <v>1200</v>
      </c>
      <c r="B2">
        <v>263200</v>
      </c>
      <c r="D2">
        <v>6000</v>
      </c>
      <c r="E2">
        <v>4000</v>
      </c>
      <c r="F2">
        <v>14000</v>
      </c>
      <c r="G2">
        <v>6000</v>
      </c>
    </row>
    <row r="3" spans="1:8" x14ac:dyDescent="0.2">
      <c r="A3">
        <v>1300</v>
      </c>
      <c r="B3">
        <v>268800</v>
      </c>
      <c r="C3">
        <v>56</v>
      </c>
      <c r="D3">
        <v>4000</v>
      </c>
      <c r="E3">
        <v>6000</v>
      </c>
      <c r="F3">
        <v>16000</v>
      </c>
      <c r="G3">
        <v>4000</v>
      </c>
    </row>
    <row r="4" spans="1:8" x14ac:dyDescent="0.2">
      <c r="A4">
        <v>1400</v>
      </c>
      <c r="B4">
        <v>274400</v>
      </c>
      <c r="C4">
        <v>56</v>
      </c>
      <c r="D4">
        <v>1999.9999999999993</v>
      </c>
      <c r="E4">
        <v>8000.0000000000009</v>
      </c>
      <c r="F4">
        <v>18000</v>
      </c>
      <c r="G4">
        <v>1999.9999999999993</v>
      </c>
    </row>
    <row r="5" spans="1:8" x14ac:dyDescent="0.2">
      <c r="A5">
        <v>1500</v>
      </c>
      <c r="B5">
        <v>280000</v>
      </c>
      <c r="C5">
        <v>56</v>
      </c>
      <c r="D5">
        <v>1.8189894035458565E-12</v>
      </c>
      <c r="E5">
        <v>10000</v>
      </c>
      <c r="F5">
        <v>20000</v>
      </c>
      <c r="G5">
        <v>0</v>
      </c>
    </row>
    <row r="6" spans="1:8" x14ac:dyDescent="0.2">
      <c r="A6">
        <v>1600</v>
      </c>
      <c r="B6">
        <v>282700</v>
      </c>
      <c r="C6">
        <v>27</v>
      </c>
      <c r="D6">
        <v>1000</v>
      </c>
      <c r="E6">
        <v>10000</v>
      </c>
      <c r="F6">
        <v>19000</v>
      </c>
      <c r="G6">
        <v>0</v>
      </c>
    </row>
    <row r="7" spans="1:8" x14ac:dyDescent="0.2">
      <c r="A7">
        <v>1700</v>
      </c>
      <c r="B7">
        <v>285400</v>
      </c>
      <c r="C7">
        <v>27</v>
      </c>
      <c r="D7">
        <v>2000</v>
      </c>
      <c r="E7">
        <v>10000</v>
      </c>
      <c r="F7">
        <v>18000</v>
      </c>
      <c r="G7">
        <v>0</v>
      </c>
    </row>
    <row r="8" spans="1:8" x14ac:dyDescent="0.2">
      <c r="A8">
        <v>1800</v>
      </c>
      <c r="B8">
        <v>288100</v>
      </c>
      <c r="C8">
        <v>27</v>
      </c>
      <c r="D8">
        <v>3000.0000000000009</v>
      </c>
      <c r="E8">
        <v>10000</v>
      </c>
      <c r="F8">
        <v>17000</v>
      </c>
      <c r="G8">
        <v>0</v>
      </c>
    </row>
    <row r="9" spans="1:8" x14ac:dyDescent="0.2">
      <c r="A9">
        <v>1900</v>
      </c>
      <c r="B9">
        <v>290800</v>
      </c>
      <c r="C9">
        <v>27</v>
      </c>
      <c r="D9">
        <v>4000.0000000000009</v>
      </c>
      <c r="E9">
        <v>10000</v>
      </c>
      <c r="F9">
        <v>16000</v>
      </c>
      <c r="G9">
        <v>0</v>
      </c>
    </row>
    <row r="10" spans="1:8" x14ac:dyDescent="0.2">
      <c r="A10">
        <v>2000</v>
      </c>
      <c r="B10">
        <v>293500</v>
      </c>
      <c r="C10">
        <v>27</v>
      </c>
      <c r="D10">
        <v>5000.0000000000009</v>
      </c>
      <c r="E10">
        <v>10000</v>
      </c>
      <c r="F10">
        <v>14999.999999999998</v>
      </c>
      <c r="G10">
        <v>0</v>
      </c>
    </row>
    <row r="11" spans="1:8" x14ac:dyDescent="0.2">
      <c r="A11">
        <v>2100</v>
      </c>
      <c r="B11">
        <v>296200</v>
      </c>
      <c r="C11">
        <v>27</v>
      </c>
      <c r="D11">
        <v>6000</v>
      </c>
      <c r="E11">
        <v>10000</v>
      </c>
      <c r="F11">
        <v>14000</v>
      </c>
      <c r="G11">
        <v>0</v>
      </c>
    </row>
    <row r="12" spans="1:8" x14ac:dyDescent="0.2">
      <c r="A12" s="30">
        <v>2200</v>
      </c>
      <c r="B12" s="30">
        <v>298000</v>
      </c>
      <c r="C12" s="30">
        <v>18</v>
      </c>
      <c r="D12" s="30">
        <v>6666.666666666667</v>
      </c>
      <c r="E12" s="30">
        <v>10000</v>
      </c>
      <c r="F12" s="30">
        <v>13333.333333333332</v>
      </c>
      <c r="G12" s="30">
        <v>0</v>
      </c>
    </row>
    <row r="13" spans="1:8" x14ac:dyDescent="0.2">
      <c r="A13" s="30">
        <v>2300</v>
      </c>
      <c r="B13" s="30">
        <v>298000</v>
      </c>
      <c r="C13" s="30">
        <v>0</v>
      </c>
      <c r="D13" s="30">
        <v>6666.666666666667</v>
      </c>
      <c r="E13" s="30">
        <v>10000</v>
      </c>
      <c r="F13" s="30">
        <v>13333.333333333332</v>
      </c>
      <c r="G13" s="30">
        <v>0</v>
      </c>
      <c r="H13" s="21" t="s">
        <v>84</v>
      </c>
    </row>
    <row r="14" spans="1:8" x14ac:dyDescent="0.2">
      <c r="A14" s="30">
        <v>2400</v>
      </c>
      <c r="B14" s="30">
        <v>298000</v>
      </c>
      <c r="C14" s="30">
        <v>0</v>
      </c>
      <c r="D14" s="30">
        <v>6666.666666666667</v>
      </c>
      <c r="E14" s="30">
        <v>10000</v>
      </c>
      <c r="F14" s="30">
        <v>13333.333333333332</v>
      </c>
      <c r="G14" s="30">
        <v>0</v>
      </c>
    </row>
    <row r="17" spans="6:7" x14ac:dyDescent="0.2">
      <c r="F17" s="21" t="s">
        <v>85</v>
      </c>
      <c r="G17" s="21" t="s">
        <v>4</v>
      </c>
    </row>
    <row r="18" spans="6:7" x14ac:dyDescent="0.2">
      <c r="F18">
        <v>1200</v>
      </c>
      <c r="G18">
        <v>263200</v>
      </c>
    </row>
    <row r="19" spans="6:7" x14ac:dyDescent="0.2">
      <c r="F19">
        <v>1300</v>
      </c>
      <c r="G19">
        <v>268800</v>
      </c>
    </row>
    <row r="20" spans="6:7" x14ac:dyDescent="0.2">
      <c r="F20">
        <v>1400</v>
      </c>
      <c r="G20">
        <v>274400</v>
      </c>
    </row>
    <row r="21" spans="6:7" x14ac:dyDescent="0.2">
      <c r="F21">
        <v>1500</v>
      </c>
      <c r="G21">
        <v>280000</v>
      </c>
    </row>
    <row r="22" spans="6:7" x14ac:dyDescent="0.2">
      <c r="F22">
        <v>1600</v>
      </c>
      <c r="G22">
        <v>282700</v>
      </c>
    </row>
    <row r="23" spans="6:7" x14ac:dyDescent="0.2">
      <c r="F23">
        <v>1700</v>
      </c>
      <c r="G23">
        <v>285400</v>
      </c>
    </row>
    <row r="24" spans="6:7" x14ac:dyDescent="0.2">
      <c r="F24">
        <v>1800</v>
      </c>
      <c r="G24">
        <v>288100</v>
      </c>
    </row>
    <row r="25" spans="6:7" x14ac:dyDescent="0.2">
      <c r="F25">
        <v>1900</v>
      </c>
      <c r="G25">
        <v>290800</v>
      </c>
    </row>
    <row r="26" spans="6:7" x14ac:dyDescent="0.2">
      <c r="F26">
        <v>2000</v>
      </c>
      <c r="G26">
        <v>293500</v>
      </c>
    </row>
    <row r="27" spans="6:7" x14ac:dyDescent="0.2">
      <c r="F27">
        <v>2100</v>
      </c>
      <c r="G27">
        <v>296200</v>
      </c>
    </row>
    <row r="28" spans="6:7" x14ac:dyDescent="0.2">
      <c r="F28" s="30">
        <v>2200</v>
      </c>
      <c r="G28" s="30">
        <v>298000</v>
      </c>
    </row>
    <row r="29" spans="6:7" x14ac:dyDescent="0.2">
      <c r="F29" s="30">
        <v>2300</v>
      </c>
      <c r="G29" s="30">
        <v>298000</v>
      </c>
    </row>
    <row r="30" spans="6:7" x14ac:dyDescent="0.2">
      <c r="F30" s="30">
        <v>2400</v>
      </c>
      <c r="G30" s="30">
        <v>298000</v>
      </c>
    </row>
  </sheetData>
  <pageMargins left="0.7" right="0.7" top="0.75" bottom="0.75" header="0.3" footer="0.3"/>
  <pageSetup scale="56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Sensitivity Report 1</vt:lpstr>
      <vt:lpstr>Sensitivity Report 2</vt:lpstr>
      <vt:lpstr>4.1</vt:lpstr>
      <vt:lpstr>4.1a sensitivity</vt:lpstr>
      <vt:lpstr>4.1b sensitivity</vt:lpstr>
      <vt:lpstr>4.4</vt:lpstr>
      <vt:lpstr>4.4a sensitivity</vt:lpstr>
      <vt:lpstr>4.4b sensitivity</vt:lpstr>
    </vt:vector>
  </TitlesOfParts>
  <Company>The Tuck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Baker</dc:creator>
  <cp:lastModifiedBy>Mina Moeini</cp:lastModifiedBy>
  <cp:lastPrinted>2023-02-14T18:51:30Z</cp:lastPrinted>
  <dcterms:created xsi:type="dcterms:W3CDTF">2000-12-18T18:46:17Z</dcterms:created>
  <dcterms:modified xsi:type="dcterms:W3CDTF">2025-01-31T03:31:09Z</dcterms:modified>
</cp:coreProperties>
</file>