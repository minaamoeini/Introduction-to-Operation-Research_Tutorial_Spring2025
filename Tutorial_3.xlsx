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a/Desktop/Math208_Tutorial/"/>
    </mc:Choice>
  </mc:AlternateContent>
  <xr:revisionPtr revIDLastSave="0" documentId="13_ncr:1_{D32AFC4A-091D-A944-829B-5C6DA4CECCA1}" xr6:coauthVersionLast="47" xr6:coauthVersionMax="47" xr10:uidLastSave="{00000000-0000-0000-0000-000000000000}"/>
  <bookViews>
    <workbookView xWindow="400" yWindow="760" windowWidth="30240" windowHeight="17640" activeTab="1" xr2:uid="{39CD7E71-E55B-2D47-B08F-A5A3BDD97E5D}"/>
  </bookViews>
  <sheets>
    <sheet name="IT Scheduling" sheetId="1" r:id="rId1"/>
    <sheet name="TV Production" sheetId="2" r:id="rId2"/>
  </sheets>
  <definedNames>
    <definedName name="solver_adj" localSheetId="0" hidden="1">'IT Scheduling'!$B$5:$H$5</definedName>
    <definedName name="solver_adj" localSheetId="1" hidden="1">'TV Production'!$B$11:$D$11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'IT Scheduling'!$I$13:$I$20</definedName>
    <definedName name="solver_lhs1" localSheetId="1" hidden="1">'TV Production'!$E$21:$E$23</definedName>
    <definedName name="solver_lhs2" localSheetId="1" hidden="1">'TV Production'!$E$24:$E$26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2</definedName>
    <definedName name="solver_opt" localSheetId="0" hidden="1">'IT Scheduling'!$D$9</definedName>
    <definedName name="solver_opt" localSheetId="1" hidden="1">'TV Production'!$E$16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el2" localSheetId="1" hidden="1">3</definedName>
    <definedName name="solver_rhs1" localSheetId="0" hidden="1">'IT Scheduling'!$K$13:$K$20</definedName>
    <definedName name="solver_rhs1" localSheetId="1" hidden="1">'TV Production'!$G$21:$G$23</definedName>
    <definedName name="solver_rhs2" localSheetId="1" hidden="1">'TV Production'!$G$24:$G$26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26" i="2"/>
  <c r="E25" i="2"/>
  <c r="E24" i="2"/>
  <c r="I14" i="1"/>
  <c r="I15" i="1"/>
  <c r="I16" i="1"/>
  <c r="I17" i="1"/>
  <c r="I18" i="1"/>
  <c r="I19" i="1"/>
  <c r="I20" i="1"/>
  <c r="I13" i="1"/>
  <c r="H11" i="2"/>
  <c r="I11" i="2"/>
  <c r="G11" i="2"/>
  <c r="E22" i="2"/>
  <c r="E23" i="2"/>
  <c r="E21" i="2"/>
  <c r="E16" i="2"/>
</calcChain>
</file>

<file path=xl/sharedStrings.xml><?xml version="1.0" encoding="utf-8"?>
<sst xmlns="http://schemas.openxmlformats.org/spreadsheetml/2006/main" count="79" uniqueCount="45">
  <si>
    <t>Decision Variables</t>
  </si>
  <si>
    <t>Objective Function</t>
  </si>
  <si>
    <t>Profit</t>
  </si>
  <si>
    <t>Constraints</t>
  </si>
  <si>
    <t>LHS</t>
  </si>
  <si>
    <t>RHS</t>
  </si>
  <si>
    <t>&lt;=</t>
  </si>
  <si>
    <t>&gt;=</t>
  </si>
  <si>
    <t>f_1 (8h - 16h)</t>
  </si>
  <si>
    <t>f_2 (12h - 20h)</t>
  </si>
  <si>
    <t>f_3 (16h - 0h)</t>
  </si>
  <si>
    <t>p_1 (8h - 12h)</t>
  </si>
  <si>
    <t>p_2 (12h - 16h)</t>
  </si>
  <si>
    <t>p_3 (16h - 20h)</t>
  </si>
  <si>
    <t>p_4 (20h - 00h)</t>
  </si>
  <si>
    <t>Shifts</t>
  </si>
  <si>
    <t>Staff</t>
  </si>
  <si>
    <t>c_f</t>
  </si>
  <si>
    <t>c_p</t>
  </si>
  <si>
    <t>Total Cost</t>
  </si>
  <si>
    <t>8h - 12h staff</t>
  </si>
  <si>
    <t>12h - 16h staff</t>
  </si>
  <si>
    <t>16h - 20h staff</t>
  </si>
  <si>
    <t>20h - 00h staff</t>
  </si>
  <si>
    <t>8h - 12h full time req</t>
  </si>
  <si>
    <t>12h - 16h  full time req</t>
  </si>
  <si>
    <t>16h - 20h  full time req</t>
  </si>
  <si>
    <t>20h - 00h  full time req</t>
  </si>
  <si>
    <t>IT Scheduling</t>
  </si>
  <si>
    <t>TV Production</t>
  </si>
  <si>
    <t>TV</t>
  </si>
  <si>
    <t>Production Amt</t>
  </si>
  <si>
    <t>PL</t>
  </si>
  <si>
    <t>LED</t>
  </si>
  <si>
    <t>3D</t>
  </si>
  <si>
    <t>Total Profit</t>
  </si>
  <si>
    <t>Problem Parameters</t>
  </si>
  <si>
    <t>Proportion Required</t>
  </si>
  <si>
    <t>Components Capacity</t>
  </si>
  <si>
    <t>Assembly Capacity</t>
  </si>
  <si>
    <t>Test Capacity</t>
  </si>
  <si>
    <t>PL Proportion</t>
  </si>
  <si>
    <t>LED Proportion</t>
  </si>
  <si>
    <t>3D Proportion</t>
  </si>
  <si>
    <t>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</si>
</sst>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1B53-A792-6A41-87D1-E6F9362CAE1F}">
  <sheetPr>
    <pageSetUpPr fitToPage="1"/>
  </sheetPr>
  <dimension ref="A1:K23"/>
  <sheetViews>
    <sheetView showFormulas="1" topLeftCell="A2" workbookViewId="0">
      <selection activeCell="D29" sqref="D29"/>
    </sheetView>
  </sheetViews>
  <sheetFormatPr baseColWidth="10" defaultRowHeight="16" x14ac:dyDescent="0.2"/>
  <cols>
    <col min="1" max="1" width="23.1640625" bestFit="1" customWidth="1"/>
    <col min="2" max="2" width="12.33203125" bestFit="1" customWidth="1"/>
    <col min="3" max="3" width="13.33203125" bestFit="1" customWidth="1"/>
    <col min="4" max="4" width="17.5" bestFit="1" customWidth="1"/>
    <col min="5" max="5" width="12.6640625" bestFit="1" customWidth="1"/>
    <col min="6" max="8" width="13.6640625" bestFit="1" customWidth="1"/>
    <col min="9" max="9" width="17.1640625" bestFit="1" customWidth="1"/>
  </cols>
  <sheetData>
    <row r="1" spans="1:11" x14ac:dyDescent="0.2">
      <c r="A1" s="1" t="s">
        <v>28</v>
      </c>
    </row>
    <row r="3" spans="1:11" x14ac:dyDescent="0.2">
      <c r="A3" s="1" t="s">
        <v>0</v>
      </c>
    </row>
    <row r="4" spans="1:11" x14ac:dyDescent="0.2">
      <c r="A4" s="2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11" x14ac:dyDescent="0.2">
      <c r="A5" s="2" t="s">
        <v>16</v>
      </c>
      <c r="B5" s="3">
        <v>2</v>
      </c>
      <c r="C5" s="3">
        <v>2</v>
      </c>
      <c r="D5" s="3">
        <v>3</v>
      </c>
      <c r="E5" s="3">
        <v>2</v>
      </c>
      <c r="F5" s="3">
        <v>4</v>
      </c>
      <c r="G5" s="3">
        <v>5</v>
      </c>
      <c r="H5" s="3">
        <v>3</v>
      </c>
    </row>
    <row r="7" spans="1:11" x14ac:dyDescent="0.2">
      <c r="A7" s="1" t="s">
        <v>1</v>
      </c>
    </row>
    <row r="8" spans="1:11" x14ac:dyDescent="0.2">
      <c r="B8" t="s">
        <v>17</v>
      </c>
      <c r="C8" t="s">
        <v>18</v>
      </c>
      <c r="D8" t="s">
        <v>19</v>
      </c>
    </row>
    <row r="9" spans="1:11" x14ac:dyDescent="0.2">
      <c r="A9" t="s">
        <v>2</v>
      </c>
      <c r="B9">
        <v>14</v>
      </c>
      <c r="C9">
        <v>12</v>
      </c>
      <c r="D9">
        <f>8*B9*SUM(B5:D5)+4*C9*SUM(E5:H5)</f>
        <v>1456</v>
      </c>
    </row>
    <row r="11" spans="1:11" x14ac:dyDescent="0.2">
      <c r="A11" s="1" t="s">
        <v>3</v>
      </c>
    </row>
    <row r="12" spans="1:11" x14ac:dyDescent="0.2">
      <c r="A12" s="2"/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4</v>
      </c>
      <c r="K12" t="s">
        <v>5</v>
      </c>
    </row>
    <row r="13" spans="1:11" x14ac:dyDescent="0.2">
      <c r="A13" s="2" t="s">
        <v>20</v>
      </c>
      <c r="B13">
        <v>1</v>
      </c>
      <c r="E13">
        <v>1</v>
      </c>
      <c r="I13">
        <f>SUMPRODUCT(B13:H13,$B$5:$H$5)</f>
        <v>4</v>
      </c>
      <c r="J13" t="s">
        <v>7</v>
      </c>
      <c r="K13">
        <v>4</v>
      </c>
    </row>
    <row r="14" spans="1:11" x14ac:dyDescent="0.2">
      <c r="A14" s="2" t="s">
        <v>21</v>
      </c>
      <c r="B14">
        <v>1</v>
      </c>
      <c r="C14">
        <v>1</v>
      </c>
      <c r="F14">
        <v>1</v>
      </c>
      <c r="I14">
        <f t="shared" ref="I14:I20" si="0">SUMPRODUCT(B14:H14,$B$5:$H$5)</f>
        <v>8</v>
      </c>
      <c r="J14" t="s">
        <v>7</v>
      </c>
      <c r="K14">
        <v>8</v>
      </c>
    </row>
    <row r="15" spans="1:11" x14ac:dyDescent="0.2">
      <c r="A15" s="2" t="s">
        <v>22</v>
      </c>
      <c r="C15">
        <v>1</v>
      </c>
      <c r="D15">
        <v>1</v>
      </c>
      <c r="G15">
        <v>1</v>
      </c>
      <c r="I15">
        <f t="shared" si="0"/>
        <v>10</v>
      </c>
      <c r="J15" t="s">
        <v>7</v>
      </c>
      <c r="K15">
        <v>10</v>
      </c>
    </row>
    <row r="16" spans="1:11" x14ac:dyDescent="0.2">
      <c r="A16" s="2" t="s">
        <v>23</v>
      </c>
      <c r="D16">
        <v>1</v>
      </c>
      <c r="H16">
        <v>1</v>
      </c>
      <c r="I16">
        <f t="shared" si="0"/>
        <v>6</v>
      </c>
      <c r="J16" t="s">
        <v>7</v>
      </c>
      <c r="K16">
        <v>6</v>
      </c>
    </row>
    <row r="17" spans="1:11" x14ac:dyDescent="0.2">
      <c r="A17" s="2" t="s">
        <v>24</v>
      </c>
      <c r="B17">
        <v>1</v>
      </c>
      <c r="E17">
        <v>-1</v>
      </c>
      <c r="I17">
        <f t="shared" si="0"/>
        <v>0</v>
      </c>
      <c r="J17" t="s">
        <v>7</v>
      </c>
      <c r="K17">
        <v>0</v>
      </c>
    </row>
    <row r="18" spans="1:11" x14ac:dyDescent="0.2">
      <c r="A18" s="2" t="s">
        <v>25</v>
      </c>
      <c r="B18">
        <v>1</v>
      </c>
      <c r="C18">
        <v>1</v>
      </c>
      <c r="F18">
        <v>-1</v>
      </c>
      <c r="I18">
        <f t="shared" si="0"/>
        <v>0</v>
      </c>
      <c r="J18" t="s">
        <v>7</v>
      </c>
      <c r="K18">
        <v>0</v>
      </c>
    </row>
    <row r="19" spans="1:11" x14ac:dyDescent="0.2">
      <c r="A19" s="2" t="s">
        <v>26</v>
      </c>
      <c r="C19">
        <v>1</v>
      </c>
      <c r="D19">
        <v>1</v>
      </c>
      <c r="G19">
        <v>-1</v>
      </c>
      <c r="I19">
        <f t="shared" si="0"/>
        <v>0</v>
      </c>
      <c r="J19" t="s">
        <v>7</v>
      </c>
      <c r="K19">
        <v>0</v>
      </c>
    </row>
    <row r="20" spans="1:11" x14ac:dyDescent="0.2">
      <c r="A20" s="2" t="s">
        <v>27</v>
      </c>
      <c r="D20">
        <v>1</v>
      </c>
      <c r="H20">
        <v>-1</v>
      </c>
      <c r="I20">
        <f t="shared" si="0"/>
        <v>0</v>
      </c>
      <c r="J20" t="s">
        <v>7</v>
      </c>
      <c r="K20">
        <v>0</v>
      </c>
    </row>
    <row r="21" spans="1:11" x14ac:dyDescent="0.2">
      <c r="A21" s="2"/>
    </row>
    <row r="22" spans="1:11" x14ac:dyDescent="0.2">
      <c r="A22" s="2"/>
    </row>
    <row r="23" spans="1:11" x14ac:dyDescent="0.2">
      <c r="A23" s="2"/>
    </row>
  </sheetData>
  <pageMargins left="0.7" right="0.7" top="0.75" bottom="0.75" header="0.3" footer="0.3"/>
  <pageSetup scale="7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3BA-4488-3B45-833A-3905BB367729}">
  <dimension ref="A1:I31"/>
  <sheetViews>
    <sheetView showFormulas="1" tabSelected="1" topLeftCell="A2" workbookViewId="0">
      <selection activeCell="G24" sqref="G24"/>
    </sheetView>
  </sheetViews>
  <sheetFormatPr baseColWidth="10" defaultRowHeight="16" x14ac:dyDescent="0.2"/>
  <cols>
    <col min="1" max="1" width="20.1640625" bestFit="1" customWidth="1"/>
  </cols>
  <sheetData>
    <row r="1" spans="1:9" x14ac:dyDescent="0.2">
      <c r="A1" s="1" t="s">
        <v>29</v>
      </c>
    </row>
    <row r="2" spans="1:9" x14ac:dyDescent="0.2">
      <c r="A2" s="1"/>
    </row>
    <row r="3" spans="1:9" x14ac:dyDescent="0.2">
      <c r="A3" s="1" t="s">
        <v>36</v>
      </c>
    </row>
    <row r="4" spans="1:9" x14ac:dyDescent="0.2">
      <c r="A4" s="2"/>
      <c r="B4" t="s">
        <v>37</v>
      </c>
    </row>
    <row r="5" spans="1:9" x14ac:dyDescent="0.2">
      <c r="A5" s="2" t="s">
        <v>32</v>
      </c>
      <c r="B5">
        <v>0.1</v>
      </c>
    </row>
    <row r="6" spans="1:9" x14ac:dyDescent="0.2">
      <c r="A6" s="2" t="s">
        <v>33</v>
      </c>
      <c r="B6">
        <v>0.2</v>
      </c>
    </row>
    <row r="7" spans="1:9" x14ac:dyDescent="0.2">
      <c r="A7" s="2" t="s">
        <v>34</v>
      </c>
      <c r="B7">
        <v>0.15</v>
      </c>
    </row>
    <row r="8" spans="1:9" x14ac:dyDescent="0.2">
      <c r="G8" t="s">
        <v>44</v>
      </c>
    </row>
    <row r="9" spans="1:9" x14ac:dyDescent="0.2">
      <c r="A9" s="1" t="s">
        <v>0</v>
      </c>
    </row>
    <row r="10" spans="1:9" x14ac:dyDescent="0.2">
      <c r="A10" s="1"/>
      <c r="B10" t="s">
        <v>32</v>
      </c>
      <c r="C10" t="s">
        <v>33</v>
      </c>
      <c r="D10" t="s">
        <v>34</v>
      </c>
    </row>
    <row r="11" spans="1:9" x14ac:dyDescent="0.2">
      <c r="A11" s="2" t="s">
        <v>30</v>
      </c>
      <c r="B11" s="3">
        <v>163.04347826086965</v>
      </c>
      <c r="C11" s="3">
        <v>65.217391304347842</v>
      </c>
      <c r="D11" s="3">
        <v>97.826086956521678</v>
      </c>
      <c r="G11">
        <f>B11/SUM($B$11:$D$11)</f>
        <v>0.50000000000000022</v>
      </c>
      <c r="H11">
        <f t="shared" ref="H11:I11" si="0">C11/SUM($B$11:$D$11)</f>
        <v>0.2</v>
      </c>
      <c r="I11">
        <f t="shared" si="0"/>
        <v>0.29999999999999977</v>
      </c>
    </row>
    <row r="12" spans="1:9" x14ac:dyDescent="0.2">
      <c r="A12" s="2" t="s">
        <v>31</v>
      </c>
    </row>
    <row r="14" spans="1:9" x14ac:dyDescent="0.2">
      <c r="A14" s="1" t="s">
        <v>1</v>
      </c>
    </row>
    <row r="15" spans="1:9" x14ac:dyDescent="0.2">
      <c r="A15" s="1"/>
      <c r="B15" t="s">
        <v>32</v>
      </c>
      <c r="C15" t="s">
        <v>33</v>
      </c>
      <c r="D15" t="s">
        <v>34</v>
      </c>
      <c r="E15" t="s">
        <v>35</v>
      </c>
    </row>
    <row r="16" spans="1:9" x14ac:dyDescent="0.2">
      <c r="B16">
        <v>90</v>
      </c>
      <c r="C16">
        <v>120</v>
      </c>
      <c r="D16">
        <v>175</v>
      </c>
      <c r="E16">
        <f>SUMPRODUCT(B11:D11,B16:D16)</f>
        <v>39619.565217391304</v>
      </c>
    </row>
    <row r="17" spans="1:7" x14ac:dyDescent="0.2">
      <c r="A17" t="s">
        <v>2</v>
      </c>
    </row>
    <row r="19" spans="1:7" x14ac:dyDescent="0.2">
      <c r="A19" s="1" t="s">
        <v>3</v>
      </c>
    </row>
    <row r="20" spans="1:7" x14ac:dyDescent="0.2">
      <c r="A20" s="2"/>
      <c r="B20" t="s">
        <v>32</v>
      </c>
      <c r="C20" t="s">
        <v>33</v>
      </c>
      <c r="D20" t="s">
        <v>34</v>
      </c>
      <c r="E20" t="s">
        <v>4</v>
      </c>
      <c r="G20" t="s">
        <v>5</v>
      </c>
    </row>
    <row r="21" spans="1:7" x14ac:dyDescent="0.2">
      <c r="A21" s="2" t="s">
        <v>38</v>
      </c>
      <c r="B21">
        <v>36</v>
      </c>
      <c r="C21">
        <v>50</v>
      </c>
      <c r="D21">
        <v>60</v>
      </c>
      <c r="E21">
        <f>SUMPRODUCT($B$11:$D$11,B21:D21)</f>
        <v>15000</v>
      </c>
      <c r="F21" t="s">
        <v>6</v>
      </c>
      <c r="G21">
        <v>15000</v>
      </c>
    </row>
    <row r="22" spans="1:7" x14ac:dyDescent="0.2">
      <c r="A22" s="2" t="s">
        <v>39</v>
      </c>
      <c r="B22">
        <v>20</v>
      </c>
      <c r="C22">
        <v>36</v>
      </c>
      <c r="D22">
        <v>50</v>
      </c>
      <c r="E22">
        <f t="shared" ref="E22:E23" si="1">SUMPRODUCT($B$11:$D$11,B22:D22)</f>
        <v>10500</v>
      </c>
      <c r="F22" t="s">
        <v>6</v>
      </c>
      <c r="G22">
        <v>10500</v>
      </c>
    </row>
    <row r="23" spans="1:7" x14ac:dyDescent="0.2">
      <c r="A23" s="2" t="s">
        <v>40</v>
      </c>
      <c r="B23">
        <v>30</v>
      </c>
      <c r="C23">
        <v>15</v>
      </c>
      <c r="D23">
        <v>40</v>
      </c>
      <c r="E23">
        <f t="shared" si="1"/>
        <v>9782.6086956521758</v>
      </c>
      <c r="F23" t="s">
        <v>6</v>
      </c>
      <c r="G23">
        <v>12000</v>
      </c>
    </row>
    <row r="24" spans="1:7" x14ac:dyDescent="0.2">
      <c r="A24" s="2" t="s">
        <v>41</v>
      </c>
      <c r="B24">
        <v>1</v>
      </c>
      <c r="E24">
        <f>SUMPRODUCT($B$11:$D$11,B24:D24) - B5*SUM($B$11:$D$11)</f>
        <v>130.43478260869574</v>
      </c>
      <c r="F24" t="s">
        <v>7</v>
      </c>
      <c r="G24">
        <v>0</v>
      </c>
    </row>
    <row r="25" spans="1:7" x14ac:dyDescent="0.2">
      <c r="A25" s="2" t="s">
        <v>42</v>
      </c>
      <c r="C25">
        <v>1</v>
      </c>
      <c r="E25">
        <f t="shared" ref="E25" si="2">SUMPRODUCT($B$11:$D$11,B25:D25) - B6*SUM($B$11:$D$11)</f>
        <v>0</v>
      </c>
      <c r="F25" t="s">
        <v>7</v>
      </c>
      <c r="G25">
        <v>0</v>
      </c>
    </row>
    <row r="26" spans="1:7" x14ac:dyDescent="0.2">
      <c r="A26" s="2" t="s">
        <v>43</v>
      </c>
      <c r="D26">
        <v>1</v>
      </c>
      <c r="E26">
        <f>SUMPRODUCT($B$11:$D$11,B26:D26) - B7*SUM($B$11:$D$11)</f>
        <v>48.913043478260803</v>
      </c>
      <c r="F26" t="s">
        <v>7</v>
      </c>
      <c r="G26">
        <v>0</v>
      </c>
    </row>
    <row r="27" spans="1:7" x14ac:dyDescent="0.2">
      <c r="A27" s="2"/>
    </row>
    <row r="28" spans="1:7" x14ac:dyDescent="0.2">
      <c r="A28" s="2"/>
    </row>
    <row r="29" spans="1:7" x14ac:dyDescent="0.2">
      <c r="A29" s="2"/>
    </row>
    <row r="30" spans="1:7" x14ac:dyDescent="0.2">
      <c r="A30" s="2"/>
    </row>
    <row r="31" spans="1:7" x14ac:dyDescent="0.2">
      <c r="A31" s="2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Scheduling</vt:lpstr>
      <vt:lpstr>TV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Mina Moeini</cp:lastModifiedBy>
  <cp:lastPrinted>2023-01-24T03:57:36Z</cp:lastPrinted>
  <dcterms:created xsi:type="dcterms:W3CDTF">2023-01-23T20:36:18Z</dcterms:created>
  <dcterms:modified xsi:type="dcterms:W3CDTF">2025-01-22T05:06:27Z</dcterms:modified>
</cp:coreProperties>
</file>