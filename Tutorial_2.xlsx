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na/Desktop/Math208_Tutorial/"/>
    </mc:Choice>
  </mc:AlternateContent>
  <xr:revisionPtr revIDLastSave="0" documentId="13_ncr:1_{1A33E14C-F304-6441-878D-5E3F8FFBF807}" xr6:coauthVersionLast="47" xr6:coauthVersionMax="47" xr10:uidLastSave="{00000000-0000-0000-0000-000000000000}"/>
  <bookViews>
    <workbookView xWindow="0" yWindow="760" windowWidth="30240" windowHeight="17520" xr2:uid="{2655E6B3-2705-4F4C-BCB8-6EE6692EF667}"/>
  </bookViews>
  <sheets>
    <sheet name="Question_1" sheetId="7" r:id="rId1"/>
    <sheet name="Question_3(a)" sheetId="2" r:id="rId2"/>
    <sheet name="Question_3(b)" sheetId="3" r:id="rId3"/>
    <sheet name="Question_2(a)" sheetId="4" r:id="rId4"/>
    <sheet name="Question_2(b)" sheetId="5" r:id="rId5"/>
  </sheets>
  <definedNames>
    <definedName name="solver_adj" localSheetId="0" hidden="1">Question_1!$B$2:$D$3</definedName>
    <definedName name="solver_adj" localSheetId="3" hidden="1">'Question_2(a)'!$B$10:$E$10</definedName>
    <definedName name="solver_adj" localSheetId="4" hidden="1">'Question_2(b)'!$B$10:$E$10</definedName>
    <definedName name="solver_adj" localSheetId="1" hidden="1">'Question_3(a)'!$B$10:$F$10,'Question_3(a)'!$B$11:$E$11,'Question_3(a)'!$B$12:$D$12,'Question_3(a)'!$B$13:$C$13,'Question_3(a)'!$B$14</definedName>
    <definedName name="solver_adj" localSheetId="2" hidden="1">'Question_3(b)'!$B$10:$F$10,'Question_3(b)'!$B$11:$E$11,'Question_3(b)'!$B$12:$D$12,'Question_3(b)'!$B$13:$C$13,'Question_3(b)'!$B$14</definedName>
    <definedName name="solver_cvg" localSheetId="0" hidden="1">0.0001</definedName>
    <definedName name="solver_cvg" localSheetId="3" hidden="1">0.0001</definedName>
    <definedName name="solver_cvg" localSheetId="4" hidden="1">0.0001</definedName>
    <definedName name="solver_cvg" localSheetId="1" hidden="1">0.0001</definedName>
    <definedName name="solver_cvg" localSheetId="2" hidden="1">0.0001</definedName>
    <definedName name="solver_drv" localSheetId="0" hidden="1">1</definedName>
    <definedName name="solver_drv" localSheetId="3" hidden="1">1</definedName>
    <definedName name="solver_drv" localSheetId="4" hidden="1">1</definedName>
    <definedName name="solver_drv" localSheetId="1" hidden="1">1</definedName>
    <definedName name="solver_drv" localSheetId="2" hidden="1">1</definedName>
    <definedName name="solver_eng" localSheetId="0" hidden="1">2</definedName>
    <definedName name="solver_eng" localSheetId="3" hidden="1">2</definedName>
    <definedName name="solver_eng" localSheetId="4" hidden="1">2</definedName>
    <definedName name="solver_eng" localSheetId="1" hidden="1">2</definedName>
    <definedName name="solver_eng" localSheetId="2" hidden="1">2</definedName>
    <definedName name="solver_itr" localSheetId="0" hidden="1">2147483647</definedName>
    <definedName name="solver_itr" localSheetId="3" hidden="1">2147483647</definedName>
    <definedName name="solver_itr" localSheetId="4" hidden="1">2147483647</definedName>
    <definedName name="solver_itr" localSheetId="1" hidden="1">2147483647</definedName>
    <definedName name="solver_itr" localSheetId="2" hidden="1">2147483647</definedName>
    <definedName name="solver_lhs1" localSheetId="0" hidden="1">Question_1!$B$4:$D$4</definedName>
    <definedName name="solver_lhs1" localSheetId="3" hidden="1">'Question_2(a)'!$F$18:$F$21</definedName>
    <definedName name="solver_lhs1" localSheetId="4" hidden="1">'Question_2(b)'!$F$18:$F$21</definedName>
    <definedName name="solver_lhs1" localSheetId="1" hidden="1">'Question_3(a)'!$B$18:$F$18</definedName>
    <definedName name="solver_lhs1" localSheetId="2" hidden="1">'Question_3(b)'!$B$18:$F$18</definedName>
    <definedName name="solver_lhs2" localSheetId="0" hidden="1">Question_1!$E$11:$E$12</definedName>
    <definedName name="solver_lhs2" localSheetId="3" hidden="1">'Question_2(a)'!$F$22:$F$23</definedName>
    <definedName name="solver_lhs2" localSheetId="4" hidden="1">'Question_2(b)'!$F$22:$F$23</definedName>
    <definedName name="solver_lhs2" localSheetId="1" hidden="1">'Question_3(a)'!$B$18:$F$18</definedName>
    <definedName name="solver_lhs2" localSheetId="2" hidden="1">'Question_3(b)'!$B$18:$F$18</definedName>
    <definedName name="solver_lhs3" localSheetId="0" hidden="1">Question_1!$E$11:$E$12</definedName>
    <definedName name="solver_lin" localSheetId="0" hidden="1">1</definedName>
    <definedName name="solver_lin" localSheetId="3" hidden="1">1</definedName>
    <definedName name="solver_lin" localSheetId="4" hidden="1">1</definedName>
    <definedName name="solver_lin" localSheetId="1" hidden="1">1</definedName>
    <definedName name="solver_lin" localSheetId="2" hidden="1">1</definedName>
    <definedName name="solver_mip" localSheetId="0" hidden="1">2147483647</definedName>
    <definedName name="solver_mip" localSheetId="3" hidden="1">2147483647</definedName>
    <definedName name="solver_mip" localSheetId="4" hidden="1">2147483647</definedName>
    <definedName name="solver_mip" localSheetId="1" hidden="1">2147483647</definedName>
    <definedName name="solver_mip" localSheetId="2" hidden="1">2147483647</definedName>
    <definedName name="solver_mni" localSheetId="0" hidden="1">30</definedName>
    <definedName name="solver_mni" localSheetId="3" hidden="1">30</definedName>
    <definedName name="solver_mni" localSheetId="4" hidden="1">30</definedName>
    <definedName name="solver_mni" localSheetId="1" hidden="1">30</definedName>
    <definedName name="solver_mni" localSheetId="2" hidden="1">30</definedName>
    <definedName name="solver_mrt" localSheetId="0" hidden="1">0.075</definedName>
    <definedName name="solver_mrt" localSheetId="3" hidden="1">0.075</definedName>
    <definedName name="solver_mrt" localSheetId="4" hidden="1">0.075</definedName>
    <definedName name="solver_mrt" localSheetId="1" hidden="1">0.075</definedName>
    <definedName name="solver_mrt" localSheetId="2" hidden="1">0.075</definedName>
    <definedName name="solver_msl" localSheetId="0" hidden="1">2</definedName>
    <definedName name="solver_msl" localSheetId="3" hidden="1">2</definedName>
    <definedName name="solver_msl" localSheetId="4" hidden="1">2</definedName>
    <definedName name="solver_msl" localSheetId="1" hidden="1">2</definedName>
    <definedName name="solver_msl" localSheetId="2" hidden="1">2</definedName>
    <definedName name="solver_neg" localSheetId="0" hidden="1">1</definedName>
    <definedName name="solver_neg" localSheetId="3" hidden="1">1</definedName>
    <definedName name="solver_neg" localSheetId="4" hidden="1">1</definedName>
    <definedName name="solver_neg" localSheetId="1" hidden="1">1</definedName>
    <definedName name="solver_neg" localSheetId="2" hidden="1">1</definedName>
    <definedName name="solver_nod" localSheetId="0" hidden="1">2147483647</definedName>
    <definedName name="solver_nod" localSheetId="3" hidden="1">2147483647</definedName>
    <definedName name="solver_nod" localSheetId="4" hidden="1">2147483647</definedName>
    <definedName name="solver_nod" localSheetId="1" hidden="1">2147483647</definedName>
    <definedName name="solver_nod" localSheetId="2" hidden="1">2147483647</definedName>
    <definedName name="solver_num" localSheetId="0" hidden="1">2</definedName>
    <definedName name="solver_num" localSheetId="3" hidden="1">2</definedName>
    <definedName name="solver_num" localSheetId="4" hidden="1">2</definedName>
    <definedName name="solver_num" localSheetId="1" hidden="1">1</definedName>
    <definedName name="solver_num" localSheetId="2" hidden="1">1</definedName>
    <definedName name="solver_opt" localSheetId="0" hidden="1">Question_1!$F$8</definedName>
    <definedName name="solver_opt" localSheetId="3" hidden="1">'Question_2(a)'!$F$14</definedName>
    <definedName name="solver_opt" localSheetId="4" hidden="1">'Question_2(b)'!$F$14</definedName>
    <definedName name="solver_opt" localSheetId="1" hidden="1">'Question_3(a)'!$G$15</definedName>
    <definedName name="solver_opt" localSheetId="2" hidden="1">'Question_3(b)'!$G$15</definedName>
    <definedName name="solver_pre" localSheetId="0" hidden="1">0.000001</definedName>
    <definedName name="solver_pre" localSheetId="3" hidden="1">0.000001</definedName>
    <definedName name="solver_pre" localSheetId="4" hidden="1">0.000001</definedName>
    <definedName name="solver_pre" localSheetId="1" hidden="1">0.000001</definedName>
    <definedName name="solver_pre" localSheetId="2" hidden="1">0.000001</definedName>
    <definedName name="solver_rbv" localSheetId="0" hidden="1">1</definedName>
    <definedName name="solver_rbv" localSheetId="3" hidden="1">1</definedName>
    <definedName name="solver_rbv" localSheetId="4" hidden="1">1</definedName>
    <definedName name="solver_rbv" localSheetId="1" hidden="1">1</definedName>
    <definedName name="solver_rbv" localSheetId="2" hidden="1">1</definedName>
    <definedName name="solver_rel1" localSheetId="0" hidden="1">2</definedName>
    <definedName name="solver_rel1" localSheetId="3" hidden="1">1</definedName>
    <definedName name="solver_rel1" localSheetId="4" hidden="1">1</definedName>
    <definedName name="solver_rel1" localSheetId="1" hidden="1">3</definedName>
    <definedName name="solver_rel1" localSheetId="2" hidden="1">3</definedName>
    <definedName name="solver_rel2" localSheetId="0" hidden="1">1</definedName>
    <definedName name="solver_rel2" localSheetId="3" hidden="1">2</definedName>
    <definedName name="solver_rel2" localSheetId="4" hidden="1">2</definedName>
    <definedName name="solver_rel2" localSheetId="1" hidden="1">3</definedName>
    <definedName name="solver_rel2" localSheetId="2" hidden="1">3</definedName>
    <definedName name="solver_rel3" localSheetId="0" hidden="1">1</definedName>
    <definedName name="solver_rhs1" localSheetId="0" hidden="1">Question_1!$B$5:$D$5</definedName>
    <definedName name="solver_rhs1" localSheetId="3" hidden="1">'Question_2(a)'!$H$18:$H$21</definedName>
    <definedName name="solver_rhs1" localSheetId="4" hidden="1">'Question_2(b)'!$H$18:$H$21</definedName>
    <definedName name="solver_rhs1" localSheetId="1" hidden="1">'Question_3(a)'!$B$20:$F$20</definedName>
    <definedName name="solver_rhs1" localSheetId="2" hidden="1">'Question_3(b)'!$B$20:$F$20</definedName>
    <definedName name="solver_rhs2" localSheetId="0" hidden="1">Question_1!$F$11:$F$12</definedName>
    <definedName name="solver_rhs2" localSheetId="3" hidden="1">'Question_2(a)'!$H$22:$H$23</definedName>
    <definedName name="solver_rhs2" localSheetId="4" hidden="1">'Question_2(b)'!$H$22:$H$23</definedName>
    <definedName name="solver_rhs2" localSheetId="1" hidden="1">'Question_3(a)'!$B$21:$F$21</definedName>
    <definedName name="solver_rhs2" localSheetId="2" hidden="1">'Question_3(b)'!$B$21:$F$21</definedName>
    <definedName name="solver_rhs3" localSheetId="0" hidden="1">Question_1!$F$11:$F$12</definedName>
    <definedName name="solver_rlx" localSheetId="0" hidden="1">2</definedName>
    <definedName name="solver_rlx" localSheetId="3" hidden="1">2</definedName>
    <definedName name="solver_rlx" localSheetId="4" hidden="1">2</definedName>
    <definedName name="solver_rlx" localSheetId="1" hidden="1">2</definedName>
    <definedName name="solver_rlx" localSheetId="2" hidden="1">2</definedName>
    <definedName name="solver_rsd" localSheetId="0" hidden="1">0</definedName>
    <definedName name="solver_rsd" localSheetId="3" hidden="1">0</definedName>
    <definedName name="solver_rsd" localSheetId="4" hidden="1">0</definedName>
    <definedName name="solver_rsd" localSheetId="1" hidden="1">0</definedName>
    <definedName name="solver_rsd" localSheetId="2" hidden="1">0</definedName>
    <definedName name="solver_scl" localSheetId="0" hidden="1">1</definedName>
    <definedName name="solver_scl" localSheetId="3" hidden="1">1</definedName>
    <definedName name="solver_scl" localSheetId="4" hidden="1">1</definedName>
    <definedName name="solver_scl" localSheetId="1" hidden="1">1</definedName>
    <definedName name="solver_scl" localSheetId="2" hidden="1">1</definedName>
    <definedName name="solver_sho" localSheetId="0" hidden="1">2</definedName>
    <definedName name="solver_sho" localSheetId="3" hidden="1">2</definedName>
    <definedName name="solver_sho" localSheetId="4" hidden="1">2</definedName>
    <definedName name="solver_sho" localSheetId="1" hidden="1">2</definedName>
    <definedName name="solver_sho" localSheetId="2" hidden="1">2</definedName>
    <definedName name="solver_ssz" localSheetId="0" hidden="1">100</definedName>
    <definedName name="solver_ssz" localSheetId="3" hidden="1">100</definedName>
    <definedName name="solver_ssz" localSheetId="4" hidden="1">100</definedName>
    <definedName name="solver_ssz" localSheetId="1" hidden="1">100</definedName>
    <definedName name="solver_ssz" localSheetId="2" hidden="1">100</definedName>
    <definedName name="solver_tim" localSheetId="0" hidden="1">2147483647</definedName>
    <definedName name="solver_tim" localSheetId="3" hidden="1">2147483647</definedName>
    <definedName name="solver_tim" localSheetId="4" hidden="1">2147483647</definedName>
    <definedName name="solver_tim" localSheetId="1" hidden="1">2147483647</definedName>
    <definedName name="solver_tim" localSheetId="2" hidden="1">2147483647</definedName>
    <definedName name="solver_tol" localSheetId="0" hidden="1">0.01</definedName>
    <definedName name="solver_tol" localSheetId="3" hidden="1">0.01</definedName>
    <definedName name="solver_tol" localSheetId="4" hidden="1">0.01</definedName>
    <definedName name="solver_tol" localSheetId="1" hidden="1">0.01</definedName>
    <definedName name="solver_tol" localSheetId="2" hidden="1">0.01</definedName>
    <definedName name="solver_typ" localSheetId="0" hidden="1">2</definedName>
    <definedName name="solver_typ" localSheetId="3" hidden="1">1</definedName>
    <definedName name="solver_typ" localSheetId="4" hidden="1">1</definedName>
    <definedName name="solver_typ" localSheetId="1" hidden="1">2</definedName>
    <definedName name="solver_typ" localSheetId="2" hidden="1">2</definedName>
    <definedName name="solver_val" localSheetId="0" hidden="1">0</definedName>
    <definedName name="solver_val" localSheetId="3" hidden="1">0</definedName>
    <definedName name="solver_val" localSheetId="4" hidden="1">0</definedName>
    <definedName name="solver_val" localSheetId="1" hidden="1">0</definedName>
    <definedName name="solver_val" localSheetId="2" hidden="1">0</definedName>
    <definedName name="solver_ver" localSheetId="0" hidden="1">2</definedName>
    <definedName name="solver_ver" localSheetId="3" hidden="1">2</definedName>
    <definedName name="solver_ver" localSheetId="4" hidden="1">2</definedName>
    <definedName name="solver_ver" localSheetId="1" hidden="1">2</definedName>
    <definedName name="solver_ver" localSheetId="2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7" l="1"/>
  <c r="J8" i="7" s="1"/>
  <c r="E12" i="7"/>
  <c r="E11" i="7"/>
  <c r="D4" i="7"/>
  <c r="C4" i="7"/>
  <c r="B4" i="7"/>
  <c r="H18" i="5"/>
  <c r="F23" i="5"/>
  <c r="F22" i="5"/>
  <c r="F21" i="5"/>
  <c r="F20" i="5"/>
  <c r="F19" i="5"/>
  <c r="F18" i="5"/>
  <c r="F13" i="5"/>
  <c r="F12" i="5"/>
  <c r="F22" i="4"/>
  <c r="F23" i="4"/>
  <c r="F13" i="4"/>
  <c r="F12" i="4"/>
  <c r="F21" i="4"/>
  <c r="F20" i="4"/>
  <c r="F19" i="4"/>
  <c r="F18" i="4"/>
  <c r="F18" i="3"/>
  <c r="E18" i="3"/>
  <c r="D18" i="3"/>
  <c r="C18" i="3"/>
  <c r="B18" i="3"/>
  <c r="G14" i="3"/>
  <c r="G13" i="3"/>
  <c r="F7" i="3"/>
  <c r="E7" i="3"/>
  <c r="D7" i="3"/>
  <c r="G12" i="3" s="1"/>
  <c r="C7" i="3"/>
  <c r="G11" i="3" s="1"/>
  <c r="B7" i="3"/>
  <c r="G10" i="3" s="1"/>
  <c r="G13" i="2"/>
  <c r="G12" i="2"/>
  <c r="C7" i="2"/>
  <c r="G11" i="2" s="1"/>
  <c r="D7" i="2"/>
  <c r="E7" i="2"/>
  <c r="F7" i="2"/>
  <c r="G14" i="2" s="1"/>
  <c r="B7" i="2"/>
  <c r="G10" i="2" s="1"/>
  <c r="C18" i="2"/>
  <c r="D18" i="2"/>
  <c r="B18" i="2"/>
  <c r="F18" i="2"/>
  <c r="E18" i="2"/>
  <c r="F14" i="5" l="1"/>
  <c r="F14" i="4"/>
  <c r="G15" i="3"/>
  <c r="G1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B20" authorId="0" shapeId="0" xr:uid="{FCE970F4-EB68-8343-BB8A-508D1F12D63A}">
      <text>
        <r>
          <rPr>
            <sz val="10"/>
            <color rgb="FF000000"/>
            <rFont val="Tahoma"/>
            <family val="2"/>
          </rPr>
          <t xml:space="preserve">Increased January storage requirement to 50,000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H18" authorId="0" shapeId="0" xr:uid="{E3BEAC2D-AB0D-BC43-B5DC-2C526A455FC8}">
      <text>
        <r>
          <rPr>
            <b/>
            <sz val="10"/>
            <color rgb="FF000000"/>
            <rFont val="Tahoma"/>
            <family val="2"/>
          </rPr>
          <t xml:space="preserve">Increased capacity by 10%
</t>
        </r>
      </text>
    </comment>
  </commentList>
</comments>
</file>

<file path=xl/sharedStrings.xml><?xml version="1.0" encoding="utf-8"?>
<sst xmlns="http://schemas.openxmlformats.org/spreadsheetml/2006/main" count="154" uniqueCount="71">
  <si>
    <t>Parameters</t>
  </si>
  <si>
    <t>Decision Variables</t>
  </si>
  <si>
    <t>Profit</t>
  </si>
  <si>
    <t>Total</t>
  </si>
  <si>
    <t>Constraints</t>
  </si>
  <si>
    <t>RHS</t>
  </si>
  <si>
    <t>&lt;=</t>
  </si>
  <si>
    <t>Question 2.9 Page 65 of Text</t>
  </si>
  <si>
    <t>Rental Term</t>
  </si>
  <si>
    <t>Cost</t>
  </si>
  <si>
    <t>1 month rental</t>
  </si>
  <si>
    <t>2 month rental</t>
  </si>
  <si>
    <t>3 month rental</t>
  </si>
  <si>
    <t>4 month rental</t>
  </si>
  <si>
    <t>5 month rental</t>
  </si>
  <si>
    <t>Term Start -&gt;</t>
  </si>
  <si>
    <t>Jan</t>
  </si>
  <si>
    <t>Month</t>
  </si>
  <si>
    <t>Monthly Requirements (sq ft)</t>
  </si>
  <si>
    <t>Feb</t>
  </si>
  <si>
    <t>Mar</t>
  </si>
  <si>
    <t>Apr</t>
  </si>
  <si>
    <t>May</t>
  </si>
  <si>
    <t>&gt;=</t>
  </si>
  <si>
    <t>Total Cost:</t>
  </si>
  <si>
    <t>Lease Cost (cost / sq ft)</t>
  </si>
  <si>
    <t>Amounts (sq ft)</t>
  </si>
  <si>
    <t>Lease Cost( cost/ 1,000 sq ft)</t>
  </si>
  <si>
    <t>Question 2.8 Page 65 of Text</t>
  </si>
  <si>
    <t>Problem Parameters</t>
  </si>
  <si>
    <t>Retail Price</t>
  </si>
  <si>
    <t>Unit</t>
  </si>
  <si>
    <t>Electronic (make)</t>
  </si>
  <si>
    <t>Battery (make)</t>
  </si>
  <si>
    <t>Battery (buy)</t>
  </si>
  <si>
    <t>Electronic (buy)</t>
  </si>
  <si>
    <t>Total Costs</t>
  </si>
  <si>
    <t>Total Revenue</t>
  </si>
  <si>
    <t>Hours/Unit (Electronics - Make)</t>
  </si>
  <si>
    <t>Hours/Unit (Battery - Make)</t>
  </si>
  <si>
    <t>Hours/Unit (Electronics - Buy)</t>
  </si>
  <si>
    <t>Hours/Unit (Battery - Buy)</t>
  </si>
  <si>
    <t>Constraits</t>
  </si>
  <si>
    <t>Fabrication Hours</t>
  </si>
  <si>
    <t>Assembly Hours</t>
  </si>
  <si>
    <t>Shipping Hours</t>
  </si>
  <si>
    <t>Subcontractor Purchase</t>
  </si>
  <si>
    <t>Battery - Make</t>
  </si>
  <si>
    <t>Electronics - Make</t>
  </si>
  <si>
    <t>Electronics - Buy</t>
  </si>
  <si>
    <t>Battery - Buy</t>
  </si>
  <si>
    <t>Demand (Electronics)</t>
  </si>
  <si>
    <t>Demand (Battery)</t>
  </si>
  <si>
    <t>=</t>
  </si>
  <si>
    <t>Cost/Unit</t>
  </si>
  <si>
    <t>Model 1</t>
  </si>
  <si>
    <t>Model 2</t>
  </si>
  <si>
    <t>Model3</t>
  </si>
  <si>
    <t>Units to make</t>
  </si>
  <si>
    <t>Units to buy</t>
  </si>
  <si>
    <t>Cost to make</t>
  </si>
  <si>
    <t>Cost to buy</t>
  </si>
  <si>
    <t>Total Cost</t>
  </si>
  <si>
    <t>Total Unit</t>
  </si>
  <si>
    <t>Order Units</t>
  </si>
  <si>
    <t>Hours of waiting</t>
  </si>
  <si>
    <t>hours of hamessing</t>
  </si>
  <si>
    <t>used</t>
  </si>
  <si>
    <t>available</t>
  </si>
  <si>
    <t>revenue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</si>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</sst>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0" fillId="3" borderId="0" xfId="0" applyFill="1" applyAlignment="1">
      <alignment horizontal="right"/>
    </xf>
    <xf numFmtId="0" fontId="2" fillId="0" borderId="0" xfId="0" applyFont="1" applyAlignment="1">
      <alignment horizontal="left"/>
    </xf>
    <xf numFmtId="43" fontId="0" fillId="0" borderId="0" xfId="1" applyFont="1"/>
    <xf numFmtId="0" fontId="0" fillId="0" borderId="0" xfId="0" quotePrefix="1"/>
    <xf numFmtId="0" fontId="0" fillId="4" borderId="0" xfId="0" applyFill="1"/>
    <xf numFmtId="0" fontId="0" fillId="5" borderId="0" xfId="0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592EF-A21B-F04F-9CE0-A6D34639689B}">
  <dimension ref="A1:J12"/>
  <sheetViews>
    <sheetView tabSelected="1" workbookViewId="0">
      <selection activeCell="I18" sqref="I18"/>
    </sheetView>
  </sheetViews>
  <sheetFormatPr baseColWidth="10" defaultRowHeight="16" x14ac:dyDescent="0.2"/>
  <cols>
    <col min="1" max="1" width="16.6640625" customWidth="1"/>
  </cols>
  <sheetData>
    <row r="1" spans="1:10" x14ac:dyDescent="0.2">
      <c r="B1" t="s">
        <v>55</v>
      </c>
      <c r="C1" t="s">
        <v>56</v>
      </c>
      <c r="D1" t="s">
        <v>57</v>
      </c>
    </row>
    <row r="2" spans="1:10" x14ac:dyDescent="0.2">
      <c r="A2" t="s">
        <v>58</v>
      </c>
      <c r="B2" s="3">
        <v>3000</v>
      </c>
      <c r="C2" s="3">
        <v>550</v>
      </c>
      <c r="D2" s="3">
        <v>900</v>
      </c>
    </row>
    <row r="3" spans="1:10" x14ac:dyDescent="0.2">
      <c r="A3" t="s">
        <v>59</v>
      </c>
      <c r="B3" s="3">
        <v>0</v>
      </c>
      <c r="C3" s="3">
        <v>1450</v>
      </c>
      <c r="D3" s="3">
        <v>0</v>
      </c>
    </row>
    <row r="4" spans="1:10" x14ac:dyDescent="0.2">
      <c r="A4" t="s">
        <v>63</v>
      </c>
      <c r="B4" s="8">
        <f>SUM(B2:B3)</f>
        <v>3000</v>
      </c>
      <c r="C4" s="8">
        <f>SUM(C2:C3)</f>
        <v>2000</v>
      </c>
      <c r="D4" s="8">
        <f>SUM(D2:D3)</f>
        <v>900</v>
      </c>
    </row>
    <row r="5" spans="1:10" x14ac:dyDescent="0.2">
      <c r="A5" t="s">
        <v>64</v>
      </c>
      <c r="B5">
        <v>3000</v>
      </c>
      <c r="C5">
        <v>2000</v>
      </c>
      <c r="D5">
        <v>900</v>
      </c>
    </row>
    <row r="7" spans="1:10" x14ac:dyDescent="0.2">
      <c r="A7" t="s">
        <v>60</v>
      </c>
      <c r="B7">
        <v>50</v>
      </c>
      <c r="C7">
        <v>83</v>
      </c>
      <c r="D7">
        <v>130</v>
      </c>
      <c r="F7" t="s">
        <v>62</v>
      </c>
      <c r="H7" t="s">
        <v>69</v>
      </c>
      <c r="J7" t="s">
        <v>70</v>
      </c>
    </row>
    <row r="8" spans="1:10" x14ac:dyDescent="0.2">
      <c r="A8" t="s">
        <v>61</v>
      </c>
      <c r="B8">
        <v>61</v>
      </c>
      <c r="C8">
        <v>97</v>
      </c>
      <c r="D8">
        <v>145</v>
      </c>
      <c r="F8" s="8">
        <f>SUMPRODUCT(B7:D8,B2:D3)</f>
        <v>453300</v>
      </c>
      <c r="H8">
        <v>750000</v>
      </c>
      <c r="J8" s="8">
        <f>H8-F8</f>
        <v>296700</v>
      </c>
    </row>
    <row r="10" spans="1:10" x14ac:dyDescent="0.2">
      <c r="E10" t="s">
        <v>67</v>
      </c>
      <c r="F10" t="s">
        <v>68</v>
      </c>
    </row>
    <row r="11" spans="1:10" x14ac:dyDescent="0.2">
      <c r="A11" t="s">
        <v>65</v>
      </c>
      <c r="B11">
        <v>2</v>
      </c>
      <c r="C11">
        <v>1.5</v>
      </c>
      <c r="D11">
        <v>3</v>
      </c>
      <c r="E11">
        <f>SUMPRODUCT(B11:D11,B2:D2)</f>
        <v>9525</v>
      </c>
      <c r="F11">
        <v>10000</v>
      </c>
    </row>
    <row r="12" spans="1:10" x14ac:dyDescent="0.2">
      <c r="A12" t="s">
        <v>66</v>
      </c>
      <c r="B12">
        <v>1</v>
      </c>
      <c r="C12">
        <v>2</v>
      </c>
      <c r="D12">
        <v>1</v>
      </c>
      <c r="E12">
        <f>SUMPRODUCT(B12:D12,B2:D2)</f>
        <v>5000</v>
      </c>
      <c r="F12">
        <v>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3B852-4B01-9542-8474-A5D35D6236C6}">
  <dimension ref="A1:G20"/>
  <sheetViews>
    <sheetView workbookViewId="0">
      <selection activeCell="F18" sqref="F18"/>
    </sheetView>
  </sheetViews>
  <sheetFormatPr baseColWidth="10" defaultRowHeight="16" x14ac:dyDescent="0.2"/>
  <cols>
    <col min="1" max="1" width="32" bestFit="1" customWidth="1"/>
    <col min="2" max="2" width="17.33203125" bestFit="1" customWidth="1"/>
    <col min="3" max="6" width="13" bestFit="1" customWidth="1"/>
    <col min="7" max="7" width="14" bestFit="1" customWidth="1"/>
  </cols>
  <sheetData>
    <row r="1" spans="1:7" x14ac:dyDescent="0.2">
      <c r="A1" s="1" t="s">
        <v>7</v>
      </c>
    </row>
    <row r="3" spans="1:7" x14ac:dyDescent="0.2">
      <c r="A3" s="1" t="s">
        <v>0</v>
      </c>
    </row>
    <row r="4" spans="1:7" x14ac:dyDescent="0.2">
      <c r="A4" s="2"/>
      <c r="B4" t="s">
        <v>8</v>
      </c>
    </row>
    <row r="5" spans="1:7" x14ac:dyDescent="0.2">
      <c r="A5" s="2"/>
      <c r="B5" s="2">
        <v>1</v>
      </c>
      <c r="C5" s="2">
        <v>2</v>
      </c>
      <c r="D5" s="2">
        <v>3</v>
      </c>
      <c r="E5" s="2">
        <v>4</v>
      </c>
      <c r="F5" s="2">
        <v>5</v>
      </c>
    </row>
    <row r="6" spans="1:7" x14ac:dyDescent="0.2">
      <c r="A6" s="2" t="s">
        <v>27</v>
      </c>
      <c r="B6" s="6">
        <v>280</v>
      </c>
      <c r="C6" s="6">
        <v>450</v>
      </c>
      <c r="D6" s="6">
        <v>600</v>
      </c>
      <c r="E6" s="6">
        <v>730</v>
      </c>
      <c r="F6" s="6">
        <v>820</v>
      </c>
    </row>
    <row r="7" spans="1:7" x14ac:dyDescent="0.2">
      <c r="A7" s="2" t="s">
        <v>25</v>
      </c>
      <c r="B7" s="6">
        <f>B6/ 1000</f>
        <v>0.28000000000000003</v>
      </c>
      <c r="C7" s="6">
        <f t="shared" ref="C7:F7" si="0">C6/ 1000</f>
        <v>0.45</v>
      </c>
      <c r="D7" s="6">
        <f t="shared" si="0"/>
        <v>0.6</v>
      </c>
      <c r="E7" s="6">
        <f t="shared" si="0"/>
        <v>0.73</v>
      </c>
      <c r="F7" s="6">
        <f t="shared" si="0"/>
        <v>0.82</v>
      </c>
    </row>
    <row r="8" spans="1:7" x14ac:dyDescent="0.2">
      <c r="A8" s="1" t="s">
        <v>1</v>
      </c>
    </row>
    <row r="9" spans="1:7" x14ac:dyDescent="0.2">
      <c r="A9" s="4" t="s">
        <v>15</v>
      </c>
      <c r="B9" s="4" t="s">
        <v>16</v>
      </c>
      <c r="C9" s="4" t="s">
        <v>19</v>
      </c>
      <c r="D9" s="4" t="s">
        <v>20</v>
      </c>
      <c r="E9" s="4" t="s">
        <v>21</v>
      </c>
      <c r="F9" s="4" t="s">
        <v>22</v>
      </c>
      <c r="G9" s="4" t="s">
        <v>9</v>
      </c>
    </row>
    <row r="10" spans="1:7" x14ac:dyDescent="0.2">
      <c r="A10" s="4" t="s">
        <v>10</v>
      </c>
      <c r="B10">
        <v>0</v>
      </c>
      <c r="C10">
        <v>0</v>
      </c>
      <c r="D10">
        <v>5000</v>
      </c>
      <c r="E10">
        <v>0</v>
      </c>
      <c r="F10">
        <v>10000</v>
      </c>
      <c r="G10" s="6">
        <f>SUM(B10:F10)*B7</f>
        <v>4200</v>
      </c>
    </row>
    <row r="11" spans="1:7" x14ac:dyDescent="0.2">
      <c r="A11" s="4" t="s">
        <v>11</v>
      </c>
      <c r="B11">
        <v>0</v>
      </c>
      <c r="C11">
        <v>0</v>
      </c>
      <c r="D11">
        <v>0</v>
      </c>
      <c r="E11">
        <v>0</v>
      </c>
      <c r="G11" s="6">
        <f>SUM(B11:E11)*C7</f>
        <v>0</v>
      </c>
    </row>
    <row r="12" spans="1:7" x14ac:dyDescent="0.2">
      <c r="A12" s="4" t="s">
        <v>12</v>
      </c>
      <c r="B12">
        <v>0</v>
      </c>
      <c r="C12">
        <v>0</v>
      </c>
      <c r="D12">
        <v>0</v>
      </c>
      <c r="G12" s="6">
        <f>SUM(B12:D12)*D7</f>
        <v>0</v>
      </c>
    </row>
    <row r="13" spans="1:7" x14ac:dyDescent="0.2">
      <c r="A13" s="4" t="s">
        <v>13</v>
      </c>
      <c r="B13">
        <v>0</v>
      </c>
      <c r="C13">
        <v>0</v>
      </c>
      <c r="G13" s="6">
        <f>SUM(B13:C13)*E7</f>
        <v>0</v>
      </c>
    </row>
    <row r="14" spans="1:7" x14ac:dyDescent="0.2">
      <c r="A14" s="4" t="s">
        <v>14</v>
      </c>
      <c r="B14">
        <v>15000</v>
      </c>
      <c r="G14" s="6">
        <f>SUM(B14)*F7</f>
        <v>12300</v>
      </c>
    </row>
    <row r="15" spans="1:7" x14ac:dyDescent="0.2">
      <c r="F15" t="s">
        <v>24</v>
      </c>
      <c r="G15" s="6">
        <f>SUM(G10:G14)</f>
        <v>16500</v>
      </c>
    </row>
    <row r="16" spans="1:7" x14ac:dyDescent="0.2">
      <c r="A16" s="5" t="s">
        <v>4</v>
      </c>
    </row>
    <row r="17" spans="1:6" x14ac:dyDescent="0.2">
      <c r="A17" s="4" t="s">
        <v>17</v>
      </c>
      <c r="B17" s="4" t="s">
        <v>16</v>
      </c>
      <c r="C17" s="4" t="s">
        <v>19</v>
      </c>
      <c r="D17" s="4" t="s">
        <v>20</v>
      </c>
      <c r="E17" s="4" t="s">
        <v>21</v>
      </c>
      <c r="F17" s="4" t="s">
        <v>22</v>
      </c>
    </row>
    <row r="18" spans="1:6" x14ac:dyDescent="0.2">
      <c r="A18" s="4" t="s">
        <v>26</v>
      </c>
      <c r="B18">
        <f>SUM(B10:B14)</f>
        <v>15000</v>
      </c>
      <c r="C18">
        <f>SUM(B11:B14,C10:C13)</f>
        <v>15000</v>
      </c>
      <c r="D18">
        <f>SUM(D10:D12,C11:C13,B12:B14)</f>
        <v>20000</v>
      </c>
      <c r="E18">
        <f>SUM(E10:E11,D11:D12,C12:C13,B13:B14)</f>
        <v>15000</v>
      </c>
      <c r="F18">
        <f>SUM(F10,E11,D12,C13,B14)</f>
        <v>25000</v>
      </c>
    </row>
    <row r="19" spans="1:6" x14ac:dyDescent="0.2">
      <c r="A19" s="4"/>
      <c r="B19" t="s">
        <v>23</v>
      </c>
      <c r="C19" t="s">
        <v>23</v>
      </c>
      <c r="D19" t="s">
        <v>23</v>
      </c>
      <c r="E19" t="s">
        <v>23</v>
      </c>
      <c r="F19" t="s">
        <v>23</v>
      </c>
    </row>
    <row r="20" spans="1:6" x14ac:dyDescent="0.2">
      <c r="A20" s="4" t="s">
        <v>18</v>
      </c>
      <c r="B20">
        <v>15000</v>
      </c>
      <c r="C20">
        <v>10000</v>
      </c>
      <c r="D20">
        <v>20000</v>
      </c>
      <c r="E20">
        <v>5000</v>
      </c>
      <c r="F20">
        <v>25000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B91D9-582D-CC4D-9EF8-F17212B817C8}">
  <dimension ref="A1:G20"/>
  <sheetViews>
    <sheetView workbookViewId="0">
      <selection activeCell="D31" sqref="D31"/>
    </sheetView>
  </sheetViews>
  <sheetFormatPr baseColWidth="10" defaultRowHeight="16" x14ac:dyDescent="0.2"/>
  <cols>
    <col min="1" max="1" width="32" bestFit="1" customWidth="1"/>
    <col min="2" max="2" width="17.33203125" bestFit="1" customWidth="1"/>
    <col min="3" max="6" width="13" bestFit="1" customWidth="1"/>
    <col min="7" max="7" width="14" bestFit="1" customWidth="1"/>
  </cols>
  <sheetData>
    <row r="1" spans="1:7" x14ac:dyDescent="0.2">
      <c r="A1" s="1" t="s">
        <v>7</v>
      </c>
    </row>
    <row r="3" spans="1:7" x14ac:dyDescent="0.2">
      <c r="A3" s="1" t="s">
        <v>0</v>
      </c>
    </row>
    <row r="4" spans="1:7" x14ac:dyDescent="0.2">
      <c r="A4" s="2"/>
      <c r="B4" t="s">
        <v>8</v>
      </c>
    </row>
    <row r="5" spans="1:7" x14ac:dyDescent="0.2">
      <c r="A5" s="2"/>
      <c r="B5" s="2">
        <v>1</v>
      </c>
      <c r="C5" s="2">
        <v>2</v>
      </c>
      <c r="D5" s="2">
        <v>3</v>
      </c>
      <c r="E5" s="2">
        <v>4</v>
      </c>
      <c r="F5" s="2">
        <v>5</v>
      </c>
    </row>
    <row r="6" spans="1:7" x14ac:dyDescent="0.2">
      <c r="A6" s="2" t="s">
        <v>27</v>
      </c>
      <c r="B6" s="6">
        <v>280</v>
      </c>
      <c r="C6" s="6">
        <v>450</v>
      </c>
      <c r="D6" s="6">
        <v>600</v>
      </c>
      <c r="E6" s="6">
        <v>730</v>
      </c>
      <c r="F6" s="6">
        <v>820</v>
      </c>
    </row>
    <row r="7" spans="1:7" x14ac:dyDescent="0.2">
      <c r="A7" s="2" t="s">
        <v>25</v>
      </c>
      <c r="B7" s="6">
        <f>B6/ 1000</f>
        <v>0.28000000000000003</v>
      </c>
      <c r="C7" s="6">
        <f t="shared" ref="C7:F7" si="0">C6/ 1000</f>
        <v>0.45</v>
      </c>
      <c r="D7" s="6">
        <f t="shared" si="0"/>
        <v>0.6</v>
      </c>
      <c r="E7" s="6">
        <f t="shared" si="0"/>
        <v>0.73</v>
      </c>
      <c r="F7" s="6">
        <f t="shared" si="0"/>
        <v>0.82</v>
      </c>
    </row>
    <row r="8" spans="1:7" x14ac:dyDescent="0.2">
      <c r="A8" s="1" t="s">
        <v>1</v>
      </c>
    </row>
    <row r="9" spans="1:7" x14ac:dyDescent="0.2">
      <c r="A9" s="4" t="s">
        <v>15</v>
      </c>
      <c r="B9" s="4" t="s">
        <v>16</v>
      </c>
      <c r="C9" s="4" t="s">
        <v>19</v>
      </c>
      <c r="D9" s="4" t="s">
        <v>20</v>
      </c>
      <c r="E9" s="4" t="s">
        <v>21</v>
      </c>
      <c r="F9" s="4" t="s">
        <v>22</v>
      </c>
      <c r="G9" s="4" t="s">
        <v>9</v>
      </c>
    </row>
    <row r="10" spans="1:7" x14ac:dyDescent="0.2">
      <c r="A10" s="4" t="s">
        <v>10</v>
      </c>
      <c r="B10">
        <v>30000</v>
      </c>
      <c r="C10">
        <v>0</v>
      </c>
      <c r="D10">
        <v>0</v>
      </c>
      <c r="E10">
        <v>0</v>
      </c>
      <c r="F10">
        <v>5000</v>
      </c>
      <c r="G10" s="6">
        <f>SUM(B10:F10)*B7</f>
        <v>9800.0000000000018</v>
      </c>
    </row>
    <row r="11" spans="1:7" x14ac:dyDescent="0.2">
      <c r="A11" s="4" t="s">
        <v>11</v>
      </c>
      <c r="B11">
        <v>0</v>
      </c>
      <c r="C11">
        <v>0</v>
      </c>
      <c r="D11">
        <v>0</v>
      </c>
      <c r="E11">
        <v>0</v>
      </c>
      <c r="G11" s="6">
        <f>SUM(B11:E11)*C7</f>
        <v>0</v>
      </c>
    </row>
    <row r="12" spans="1:7" x14ac:dyDescent="0.2">
      <c r="A12" s="4" t="s">
        <v>12</v>
      </c>
      <c r="B12">
        <v>0</v>
      </c>
      <c r="C12">
        <v>0</v>
      </c>
      <c r="D12">
        <v>0</v>
      </c>
      <c r="G12" s="6">
        <f>SUM(B12:D12)*D7</f>
        <v>0</v>
      </c>
    </row>
    <row r="13" spans="1:7" x14ac:dyDescent="0.2">
      <c r="A13" s="4" t="s">
        <v>13</v>
      </c>
      <c r="B13">
        <v>0</v>
      </c>
      <c r="C13">
        <v>0</v>
      </c>
      <c r="G13" s="6">
        <f>SUM(B13:C13)*E7</f>
        <v>0</v>
      </c>
    </row>
    <row r="14" spans="1:7" x14ac:dyDescent="0.2">
      <c r="A14" s="4" t="s">
        <v>14</v>
      </c>
      <c r="B14">
        <v>20000</v>
      </c>
      <c r="G14" s="6">
        <f>SUM(B14)*F7</f>
        <v>16400</v>
      </c>
    </row>
    <row r="15" spans="1:7" x14ac:dyDescent="0.2">
      <c r="F15" t="s">
        <v>24</v>
      </c>
      <c r="G15" s="6">
        <f>SUM(G10:G14)</f>
        <v>26200</v>
      </c>
    </row>
    <row r="16" spans="1:7" x14ac:dyDescent="0.2">
      <c r="A16" s="5" t="s">
        <v>4</v>
      </c>
    </row>
    <row r="17" spans="1:6" x14ac:dyDescent="0.2">
      <c r="A17" s="4" t="s">
        <v>17</v>
      </c>
      <c r="B17" s="4" t="s">
        <v>16</v>
      </c>
      <c r="C17" s="4" t="s">
        <v>19</v>
      </c>
      <c r="D17" s="4" t="s">
        <v>20</v>
      </c>
      <c r="E17" s="4" t="s">
        <v>21</v>
      </c>
      <c r="F17" s="4" t="s">
        <v>22</v>
      </c>
    </row>
    <row r="18" spans="1:6" x14ac:dyDescent="0.2">
      <c r="A18" s="4" t="s">
        <v>26</v>
      </c>
      <c r="B18">
        <f>SUM(B10:B14)</f>
        <v>50000</v>
      </c>
      <c r="C18">
        <f>SUM(B11:B14,C10:C13)</f>
        <v>20000</v>
      </c>
      <c r="D18">
        <f>SUM(D10:D12,C11:C13,B12:B14)</f>
        <v>20000</v>
      </c>
      <c r="E18">
        <f>SUM(E10:E11,D11:D12,C12:C13,B13:B14)</f>
        <v>20000</v>
      </c>
      <c r="F18">
        <f>SUM(F10,E11,D12,C13,B14)</f>
        <v>25000</v>
      </c>
    </row>
    <row r="19" spans="1:6" x14ac:dyDescent="0.2">
      <c r="A19" s="4"/>
      <c r="B19" t="s">
        <v>23</v>
      </c>
      <c r="C19" t="s">
        <v>23</v>
      </c>
      <c r="D19" t="s">
        <v>23</v>
      </c>
      <c r="E19" t="s">
        <v>23</v>
      </c>
      <c r="F19" t="s">
        <v>23</v>
      </c>
    </row>
    <row r="20" spans="1:6" x14ac:dyDescent="0.2">
      <c r="A20" s="4" t="s">
        <v>18</v>
      </c>
      <c r="B20">
        <v>50000</v>
      </c>
      <c r="C20">
        <v>10000</v>
      </c>
      <c r="D20">
        <v>20000</v>
      </c>
      <c r="E20">
        <v>5000</v>
      </c>
      <c r="F20">
        <v>25000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3CADC-5E00-5F4C-877F-E7624220D82F}">
  <dimension ref="A1:H23"/>
  <sheetViews>
    <sheetView workbookViewId="0">
      <selection activeCell="F26" sqref="F26"/>
    </sheetView>
  </sheetViews>
  <sheetFormatPr baseColWidth="10" defaultRowHeight="16" x14ac:dyDescent="0.2"/>
  <cols>
    <col min="1" max="1" width="32" bestFit="1" customWidth="1"/>
    <col min="2" max="2" width="27.5" bestFit="1" customWidth="1"/>
    <col min="3" max="3" width="24.5" bestFit="1" customWidth="1"/>
    <col min="4" max="4" width="27.5" bestFit="1" customWidth="1"/>
    <col min="5" max="5" width="23" bestFit="1" customWidth="1"/>
    <col min="6" max="6" width="13" bestFit="1" customWidth="1"/>
    <col min="7" max="7" width="14" bestFit="1" customWidth="1"/>
  </cols>
  <sheetData>
    <row r="1" spans="1:6" x14ac:dyDescent="0.2">
      <c r="A1" s="1" t="s">
        <v>28</v>
      </c>
    </row>
    <row r="3" spans="1:6" x14ac:dyDescent="0.2">
      <c r="A3" s="1" t="s">
        <v>29</v>
      </c>
    </row>
    <row r="4" spans="1:6" x14ac:dyDescent="0.2">
      <c r="B4" t="s">
        <v>38</v>
      </c>
      <c r="C4" t="s">
        <v>39</v>
      </c>
      <c r="D4" t="s">
        <v>40</v>
      </c>
      <c r="E4" t="s">
        <v>41</v>
      </c>
    </row>
    <row r="5" spans="1:6" x14ac:dyDescent="0.2">
      <c r="A5" s="2" t="s">
        <v>54</v>
      </c>
      <c r="B5" s="3">
        <v>18.8</v>
      </c>
      <c r="C5" s="3">
        <v>16</v>
      </c>
      <c r="D5" s="3">
        <v>21.5</v>
      </c>
      <c r="E5" s="3">
        <v>21.5</v>
      </c>
    </row>
    <row r="6" spans="1:6" x14ac:dyDescent="0.2">
      <c r="A6" s="2" t="s">
        <v>30</v>
      </c>
      <c r="B6" s="3">
        <v>29.5</v>
      </c>
      <c r="C6" s="3">
        <v>28</v>
      </c>
      <c r="D6" s="3">
        <v>29.5</v>
      </c>
      <c r="E6" s="3">
        <v>28</v>
      </c>
    </row>
    <row r="8" spans="1:6" x14ac:dyDescent="0.2">
      <c r="A8" s="5" t="s">
        <v>1</v>
      </c>
    </row>
    <row r="9" spans="1:6" x14ac:dyDescent="0.2">
      <c r="B9" t="s">
        <v>32</v>
      </c>
      <c r="C9" t="s">
        <v>33</v>
      </c>
      <c r="D9" t="s">
        <v>35</v>
      </c>
      <c r="E9" t="s">
        <v>34</v>
      </c>
    </row>
    <row r="10" spans="1:6" x14ac:dyDescent="0.2">
      <c r="A10" t="s">
        <v>31</v>
      </c>
      <c r="B10" s="9">
        <v>6666.666666666667</v>
      </c>
      <c r="C10" s="9">
        <v>10000</v>
      </c>
      <c r="D10" s="9">
        <v>13333.333333333332</v>
      </c>
      <c r="E10" s="9">
        <v>0</v>
      </c>
    </row>
    <row r="12" spans="1:6" x14ac:dyDescent="0.2">
      <c r="E12" t="s">
        <v>37</v>
      </c>
      <c r="F12" s="9">
        <f>SUMPRODUCT(B6:E6,B10:E10)</f>
        <v>870000</v>
      </c>
    </row>
    <row r="13" spans="1:6" x14ac:dyDescent="0.2">
      <c r="E13" t="s">
        <v>36</v>
      </c>
      <c r="F13" s="9">
        <f>SUMPRODUCT(B10:E10,B5:E5)</f>
        <v>572000</v>
      </c>
    </row>
    <row r="14" spans="1:6" x14ac:dyDescent="0.2">
      <c r="E14" t="s">
        <v>2</v>
      </c>
      <c r="F14" s="9">
        <f>F12-F13</f>
        <v>298000</v>
      </c>
    </row>
    <row r="16" spans="1:6" x14ac:dyDescent="0.2">
      <c r="A16" s="1" t="s">
        <v>42</v>
      </c>
    </row>
    <row r="17" spans="1:8" x14ac:dyDescent="0.2">
      <c r="A17" s="2"/>
      <c r="B17" t="s">
        <v>48</v>
      </c>
      <c r="C17" t="s">
        <v>47</v>
      </c>
      <c r="D17" t="s">
        <v>49</v>
      </c>
      <c r="E17" t="s">
        <v>50</v>
      </c>
      <c r="F17" t="s">
        <v>3</v>
      </c>
      <c r="H17" t="s">
        <v>5</v>
      </c>
    </row>
    <row r="18" spans="1:8" x14ac:dyDescent="0.2">
      <c r="A18" s="2" t="s">
        <v>43</v>
      </c>
      <c r="B18">
        <v>0.15</v>
      </c>
      <c r="C18">
        <v>0.1</v>
      </c>
      <c r="F18">
        <f>SUMPRODUCT(B10:C10,B18:C18)</f>
        <v>2000</v>
      </c>
      <c r="G18" t="s">
        <v>6</v>
      </c>
      <c r="H18">
        <v>2000</v>
      </c>
    </row>
    <row r="19" spans="1:8" x14ac:dyDescent="0.2">
      <c r="A19" s="2" t="s">
        <v>44</v>
      </c>
      <c r="B19">
        <v>0.2</v>
      </c>
      <c r="C19">
        <v>0.2</v>
      </c>
      <c r="F19">
        <f>SUMPRODUCT($B$10:$C$10,B19:C19)</f>
        <v>3333.3333333333335</v>
      </c>
      <c r="G19" t="s">
        <v>6</v>
      </c>
      <c r="H19">
        <v>4200</v>
      </c>
    </row>
    <row r="20" spans="1:8" x14ac:dyDescent="0.2">
      <c r="A20" s="2" t="s">
        <v>45</v>
      </c>
      <c r="B20">
        <v>0.1</v>
      </c>
      <c r="C20">
        <v>0.15</v>
      </c>
      <c r="F20">
        <f>SUMPRODUCT($B$10:$C$10,B20:C20)</f>
        <v>2166.666666666667</v>
      </c>
      <c r="G20" t="s">
        <v>6</v>
      </c>
      <c r="H20">
        <v>2500</v>
      </c>
    </row>
    <row r="21" spans="1:8" x14ac:dyDescent="0.2">
      <c r="A21" s="2" t="s">
        <v>46</v>
      </c>
      <c r="D21">
        <v>1</v>
      </c>
      <c r="E21">
        <v>1</v>
      </c>
      <c r="F21">
        <f>SUMPRODUCT(D10:E10,D21:E21)</f>
        <v>13333.333333333332</v>
      </c>
      <c r="G21" t="s">
        <v>6</v>
      </c>
      <c r="H21">
        <v>20000</v>
      </c>
    </row>
    <row r="22" spans="1:8" x14ac:dyDescent="0.2">
      <c r="A22" s="2" t="s">
        <v>51</v>
      </c>
      <c r="B22">
        <v>1</v>
      </c>
      <c r="D22">
        <v>1</v>
      </c>
      <c r="F22">
        <f>SUMPRODUCT(B22:E22,B10:E10)</f>
        <v>20000</v>
      </c>
      <c r="G22" s="7" t="s">
        <v>53</v>
      </c>
      <c r="H22">
        <v>20000</v>
      </c>
    </row>
    <row r="23" spans="1:8" x14ac:dyDescent="0.2">
      <c r="A23" s="2" t="s">
        <v>52</v>
      </c>
      <c r="C23">
        <v>1</v>
      </c>
      <c r="E23">
        <v>1</v>
      </c>
      <c r="F23">
        <f>SUMPRODUCT(B10:E10,B23:E23)</f>
        <v>10000</v>
      </c>
      <c r="G23" s="7" t="s">
        <v>53</v>
      </c>
      <c r="H23">
        <v>10000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EFCF-0B1F-DF41-963B-A7F2030A0E82}">
  <dimension ref="A1:H23"/>
  <sheetViews>
    <sheetView workbookViewId="0">
      <selection activeCell="F39" sqref="F39"/>
    </sheetView>
  </sheetViews>
  <sheetFormatPr baseColWidth="10" defaultRowHeight="16" x14ac:dyDescent="0.2"/>
  <cols>
    <col min="1" max="1" width="32" bestFit="1" customWidth="1"/>
    <col min="2" max="2" width="27.5" bestFit="1" customWidth="1"/>
    <col min="3" max="3" width="24.5" bestFit="1" customWidth="1"/>
    <col min="4" max="4" width="27.5" bestFit="1" customWidth="1"/>
    <col min="5" max="5" width="23" bestFit="1" customWidth="1"/>
    <col min="6" max="6" width="13" bestFit="1" customWidth="1"/>
    <col min="7" max="7" width="14" bestFit="1" customWidth="1"/>
  </cols>
  <sheetData>
    <row r="1" spans="1:6" x14ac:dyDescent="0.2">
      <c r="A1" s="1" t="s">
        <v>28</v>
      </c>
    </row>
    <row r="3" spans="1:6" x14ac:dyDescent="0.2">
      <c r="A3" s="1" t="s">
        <v>29</v>
      </c>
    </row>
    <row r="4" spans="1:6" x14ac:dyDescent="0.2">
      <c r="B4" t="s">
        <v>38</v>
      </c>
      <c r="C4" t="s">
        <v>39</v>
      </c>
      <c r="D4" t="s">
        <v>40</v>
      </c>
      <c r="E4" t="s">
        <v>41</v>
      </c>
    </row>
    <row r="5" spans="1:6" x14ac:dyDescent="0.2">
      <c r="A5" s="2" t="s">
        <v>54</v>
      </c>
      <c r="B5">
        <v>18.8</v>
      </c>
      <c r="C5">
        <v>16</v>
      </c>
      <c r="D5">
        <v>21.5</v>
      </c>
      <c r="E5">
        <v>21.5</v>
      </c>
    </row>
    <row r="6" spans="1:6" x14ac:dyDescent="0.2">
      <c r="A6" s="2" t="s">
        <v>30</v>
      </c>
      <c r="B6">
        <v>29.5</v>
      </c>
      <c r="C6">
        <v>28</v>
      </c>
      <c r="D6">
        <v>29.5</v>
      </c>
      <c r="E6">
        <v>28</v>
      </c>
    </row>
    <row r="8" spans="1:6" x14ac:dyDescent="0.2">
      <c r="A8" s="5" t="s">
        <v>1</v>
      </c>
    </row>
    <row r="9" spans="1:6" x14ac:dyDescent="0.2">
      <c r="B9" t="s">
        <v>32</v>
      </c>
      <c r="C9" t="s">
        <v>33</v>
      </c>
      <c r="D9" t="s">
        <v>35</v>
      </c>
      <c r="E9" t="s">
        <v>34</v>
      </c>
    </row>
    <row r="10" spans="1:6" x14ac:dyDescent="0.2">
      <c r="A10" t="s">
        <v>31</v>
      </c>
      <c r="B10">
        <v>8000.0000000000009</v>
      </c>
      <c r="C10">
        <v>10000</v>
      </c>
      <c r="D10">
        <v>12000</v>
      </c>
      <c r="E10">
        <v>0</v>
      </c>
    </row>
    <row r="12" spans="1:6" x14ac:dyDescent="0.2">
      <c r="E12" t="s">
        <v>37</v>
      </c>
      <c r="F12">
        <f>SUMPRODUCT(B6:E6,B10:E10)</f>
        <v>870000</v>
      </c>
    </row>
    <row r="13" spans="1:6" x14ac:dyDescent="0.2">
      <c r="E13" t="s">
        <v>36</v>
      </c>
      <c r="F13">
        <f>SUMPRODUCT(B10:E10,B5:E5)</f>
        <v>568400</v>
      </c>
    </row>
    <row r="14" spans="1:6" x14ac:dyDescent="0.2">
      <c r="E14" t="s">
        <v>2</v>
      </c>
      <c r="F14">
        <f>F12-F13</f>
        <v>301600</v>
      </c>
    </row>
    <row r="16" spans="1:6" x14ac:dyDescent="0.2">
      <c r="A16" s="1" t="s">
        <v>42</v>
      </c>
    </row>
    <row r="17" spans="1:8" x14ac:dyDescent="0.2">
      <c r="A17" s="2"/>
      <c r="B17" t="s">
        <v>48</v>
      </c>
      <c r="C17" t="s">
        <v>47</v>
      </c>
      <c r="D17" t="s">
        <v>49</v>
      </c>
      <c r="E17" t="s">
        <v>50</v>
      </c>
      <c r="F17" t="s">
        <v>3</v>
      </c>
      <c r="H17" t="s">
        <v>5</v>
      </c>
    </row>
    <row r="18" spans="1:8" x14ac:dyDescent="0.2">
      <c r="A18" s="2" t="s">
        <v>43</v>
      </c>
      <c r="B18">
        <v>0.15</v>
      </c>
      <c r="C18">
        <v>0.1</v>
      </c>
      <c r="F18">
        <f>SUMPRODUCT(B10:C10,B18:C18)</f>
        <v>2200</v>
      </c>
      <c r="G18" t="s">
        <v>6</v>
      </c>
      <c r="H18">
        <f xml:space="preserve"> 2000 *1.1</f>
        <v>2200</v>
      </c>
    </row>
    <row r="19" spans="1:8" x14ac:dyDescent="0.2">
      <c r="A19" s="2" t="s">
        <v>44</v>
      </c>
      <c r="B19">
        <v>0.2</v>
      </c>
      <c r="C19">
        <v>0.2</v>
      </c>
      <c r="F19">
        <f>SUMPRODUCT($B$10:$C$10,B19:C19)</f>
        <v>3600</v>
      </c>
      <c r="G19" t="s">
        <v>6</v>
      </c>
      <c r="H19">
        <v>4200</v>
      </c>
    </row>
    <row r="20" spans="1:8" x14ac:dyDescent="0.2">
      <c r="A20" s="2" t="s">
        <v>45</v>
      </c>
      <c r="B20">
        <v>0.1</v>
      </c>
      <c r="C20">
        <v>0.15</v>
      </c>
      <c r="F20">
        <f>SUMPRODUCT($B$10:$C$10,B20:C20)</f>
        <v>2300</v>
      </c>
      <c r="G20" t="s">
        <v>6</v>
      </c>
      <c r="H20">
        <v>2500</v>
      </c>
    </row>
    <row r="21" spans="1:8" x14ac:dyDescent="0.2">
      <c r="A21" s="2" t="s">
        <v>46</v>
      </c>
      <c r="D21">
        <v>1</v>
      </c>
      <c r="E21">
        <v>1</v>
      </c>
      <c r="F21">
        <f>SUMPRODUCT(D10:E10,D21:E21)</f>
        <v>12000</v>
      </c>
      <c r="G21" t="s">
        <v>6</v>
      </c>
      <c r="H21">
        <v>20000</v>
      </c>
    </row>
    <row r="22" spans="1:8" x14ac:dyDescent="0.2">
      <c r="A22" s="2" t="s">
        <v>51</v>
      </c>
      <c r="B22">
        <v>1</v>
      </c>
      <c r="D22">
        <v>1</v>
      </c>
      <c r="F22">
        <f>SUMPRODUCT(B22:E22,B10:E10)</f>
        <v>20000</v>
      </c>
      <c r="G22" s="7" t="s">
        <v>53</v>
      </c>
      <c r="H22">
        <v>20000</v>
      </c>
    </row>
    <row r="23" spans="1:8" x14ac:dyDescent="0.2">
      <c r="A23" s="2" t="s">
        <v>52</v>
      </c>
      <c r="C23">
        <v>1</v>
      </c>
      <c r="E23">
        <v>1</v>
      </c>
      <c r="F23">
        <f>SUMPRODUCT(B10:E10,B23:E23)</f>
        <v>10000</v>
      </c>
      <c r="G23" s="7" t="s">
        <v>53</v>
      </c>
      <c r="H23">
        <v>10000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Question_1</vt:lpstr>
      <vt:lpstr>Question_3(a)</vt:lpstr>
      <vt:lpstr>Question_3(b)</vt:lpstr>
      <vt:lpstr>Question_2(a)</vt:lpstr>
      <vt:lpstr>Question_2(b)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Mina Moeini</cp:lastModifiedBy>
  <dcterms:created xsi:type="dcterms:W3CDTF">2023-01-16T01:24:10Z</dcterms:created>
  <dcterms:modified xsi:type="dcterms:W3CDTF">2025-01-15T15:27:03Z</dcterms:modified>
</cp:coreProperties>
</file>