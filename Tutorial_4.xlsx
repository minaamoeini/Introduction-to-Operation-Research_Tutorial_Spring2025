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ina/Desktop/Math208_Tutorial/"/>
    </mc:Choice>
  </mc:AlternateContent>
  <xr:revisionPtr revIDLastSave="0" documentId="8_{98EC96F8-F585-2146-BE90-2A3669D23632}" xr6:coauthVersionLast="47" xr6:coauthVersionMax="47" xr10:uidLastSave="{00000000-0000-0000-0000-000000000000}"/>
  <bookViews>
    <workbookView xWindow="42860" yWindow="860" windowWidth="35840" windowHeight="20480" tabRatio="718" activeTab="1" xr2:uid="{00000000-000D-0000-FFFF-FFFF00000000}"/>
  </bookViews>
  <sheets>
    <sheet name="Example 3.1 (adapted)" sheetId="21" r:id="rId1"/>
    <sheet name="Example 3.4" sheetId="22" r:id="rId2"/>
  </sheets>
  <definedNames>
    <definedName name="sencount" hidden="1">4</definedName>
    <definedName name="solver_adj" localSheetId="0" hidden="1">'Example 3.1 (adapted)'!$J$6:$M$8</definedName>
    <definedName name="solver_adj" localSheetId="1" hidden="1">'Example 3.4'!$B$10:$E$16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2</definedName>
    <definedName name="solver_est" localSheetId="0" hidden="1">1</definedName>
    <definedName name="solver_itr" localSheetId="0" hidden="1">2147483647</definedName>
    <definedName name="solver_itr" localSheetId="1" hidden="1">2147483647</definedName>
    <definedName name="solver_lhs0" localSheetId="0" hidden="1">'Example 3.1 (adapted)'!$N$6:$N$8</definedName>
    <definedName name="solver_lhs1" localSheetId="0" hidden="1">'Example 3.1 (adapted)'!$J$16:$J$18</definedName>
    <definedName name="solver_lhs1" localSheetId="1" hidden="1">'Example 3.4'!$B$17:$E$17</definedName>
    <definedName name="solver_lhs2" localSheetId="0" hidden="1">'Example 3.1 (adapted)'!$J$9:$M$9</definedName>
    <definedName name="solver_lhs2" localSheetId="1" hidden="1">'Example 3.4'!$F$10:$F$16</definedName>
    <definedName name="solver_lhs3" localSheetId="0" hidden="1">'Example 3.1 (adapted)'!$N$6:$N$8</definedName>
    <definedName name="solver_lin" localSheetId="0" hidden="1">2</definedName>
    <definedName name="solver_lin" localSheetId="1" hidden="1">1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tri" hidden="1">1000</definedName>
    <definedName name="solver_num" localSheetId="0" hidden="1">2</definedName>
    <definedName name="solver_num" localSheetId="1" hidden="1">2</definedName>
    <definedName name="solver_nwt" localSheetId="0" hidden="1">1</definedName>
    <definedName name="solver_opt" localSheetId="0" hidden="1">'Example 3.1 (adapted)'!$C$22</definedName>
    <definedName name="solver_opt" localSheetId="1" hidden="1">'Example 3.4'!$B$36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0" localSheetId="0" hidden="1">1</definedName>
    <definedName name="solver_rel1" localSheetId="0" hidden="1">1</definedName>
    <definedName name="solver_rel1" localSheetId="1" hidden="1">1</definedName>
    <definedName name="solver_rel2" localSheetId="0" hidden="1">3</definedName>
    <definedName name="solver_rel2" localSheetId="1" hidden="1">3</definedName>
    <definedName name="solver_rel3" localSheetId="0" hidden="1">1</definedName>
    <definedName name="solver_rhs0" localSheetId="0" hidden="1">'Example 3.1 (adapted)'!$G$6:$G$8</definedName>
    <definedName name="solver_rhs1" localSheetId="0" hidden="1">'Example 3.1 (adapted)'!$L$16:$L$18</definedName>
    <definedName name="solver_rhs1" localSheetId="1" hidden="1">'Example 3.4'!$B$19:$E$19</definedName>
    <definedName name="solver_rhs2" localSheetId="0" hidden="1">'Example 3.1 (adapted)'!$C$9:$F$9</definedName>
    <definedName name="solver_rhs2" localSheetId="1" hidden="1">'Example 3.4'!$H$10:$H$16</definedName>
    <definedName name="solver_rhs3" localSheetId="0" hidden="1">'Example 3.1 (adapted)'!$G$6:$G$8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rsmp" hidden="1">2</definedName>
    <definedName name="solver_scl" localSheetId="0" hidden="1">1</definedName>
    <definedName name="solver_scl" localSheetId="1" hidden="1">1</definedName>
    <definedName name="solver_seed" hidden="1">0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2</definedName>
    <definedName name="solver_ver" localSheetId="1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22" l="1"/>
  <c r="D17" i="22"/>
  <c r="C17" i="22"/>
  <c r="B17" i="22"/>
  <c r="F16" i="22"/>
  <c r="F15" i="22"/>
  <c r="F14" i="22"/>
  <c r="F13" i="22"/>
  <c r="F12" i="22"/>
  <c r="F11" i="22"/>
  <c r="F10" i="22"/>
  <c r="B35" i="22"/>
  <c r="L18" i="21"/>
  <c r="L17" i="21"/>
  <c r="L16" i="21"/>
  <c r="F18" i="21"/>
  <c r="E18" i="21"/>
  <c r="D18" i="21"/>
  <c r="C18" i="21"/>
  <c r="F17" i="21"/>
  <c r="E17" i="21"/>
  <c r="D17" i="21"/>
  <c r="C17" i="21"/>
  <c r="F16" i="21"/>
  <c r="E16" i="21"/>
  <c r="D16" i="21"/>
  <c r="C16" i="21"/>
  <c r="B34" i="22" l="1"/>
  <c r="B36" i="22" s="1"/>
  <c r="C20" i="21"/>
  <c r="M9" i="21"/>
  <c r="L9" i="21"/>
  <c r="K9" i="21"/>
  <c r="J9" i="21"/>
  <c r="N8" i="21"/>
  <c r="G18" i="21" s="1"/>
  <c r="N7" i="21"/>
  <c r="G17" i="21" s="1"/>
  <c r="N6" i="21"/>
  <c r="G16" i="21" s="1"/>
  <c r="J16" i="21" l="1"/>
  <c r="J17" i="21"/>
  <c r="J18" i="21"/>
  <c r="N9" i="21"/>
  <c r="C21" i="21" l="1"/>
  <c r="C22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16" authorId="0" shapeId="0" xr:uid="{EA5EF600-5430-B841-993E-826B01DC4F48}">
      <text>
        <r>
          <rPr>
            <b/>
            <sz val="10"/>
            <color rgb="FF000000"/>
            <rFont val="Tahoma"/>
            <family val="2"/>
          </rPr>
          <t xml:space="preserve">Use IF statement to check for overproduction
</t>
        </r>
      </text>
    </comment>
  </commentList>
</comments>
</file>

<file path=xl/sharedStrings.xml><?xml version="1.0" encoding="utf-8"?>
<sst xmlns="http://schemas.openxmlformats.org/spreadsheetml/2006/main" count="98" uniqueCount="44">
  <si>
    <t>Constraints</t>
  </si>
  <si>
    <t>LHS</t>
  </si>
  <si>
    <t>RHS</t>
  </si>
  <si>
    <t>Parameters</t>
  </si>
  <si>
    <t>&lt;=</t>
  </si>
  <si>
    <t>Decisions</t>
  </si>
  <si>
    <t>Objective</t>
  </si>
  <si>
    <t>Atl</t>
  </si>
  <si>
    <t>Bos</t>
  </si>
  <si>
    <t>Chi</t>
  </si>
  <si>
    <t>Den</t>
  </si>
  <si>
    <t>Capacity</t>
  </si>
  <si>
    <t>Minn</t>
  </si>
  <si>
    <t>Pitt</t>
  </si>
  <si>
    <t>Tucs</t>
  </si>
  <si>
    <t>To</t>
  </si>
  <si>
    <t>From</t>
  </si>
  <si>
    <t>Demand</t>
  </si>
  <si>
    <t>Sent</t>
  </si>
  <si>
    <t>Received</t>
  </si>
  <si>
    <t>Total cost</t>
  </si>
  <si>
    <t>Transp. Cost</t>
  </si>
  <si>
    <t>Fixed cost</t>
  </si>
  <si>
    <t>Transportation with fixed cost for over-production</t>
  </si>
  <si>
    <t>Max overprod.</t>
  </si>
  <si>
    <t>Overprod fixed cost</t>
  </si>
  <si>
    <t>Overprod. limit</t>
  </si>
  <si>
    <t>Overprod. Cost</t>
  </si>
  <si>
    <t>Atlanta</t>
  </si>
  <si>
    <t>Louisville</t>
  </si>
  <si>
    <t>Detroit</t>
  </si>
  <si>
    <t>Phoenix</t>
  </si>
  <si>
    <t>Tacoma</t>
  </si>
  <si>
    <t>San Diego</t>
  </si>
  <si>
    <t>Dallas</t>
  </si>
  <si>
    <t>Denver</t>
  </si>
  <si>
    <t>St Louis</t>
  </si>
  <si>
    <t>Tampa</t>
  </si>
  <si>
    <t>Baltimore</t>
  </si>
  <si>
    <t>&gt;=</t>
  </si>
  <si>
    <t>Production Cost</t>
  </si>
  <si>
    <t>Total Production Cost</t>
  </si>
  <si>
    <t>Total Shipping cost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</si>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</sst>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8" x14ac:knownFonts="1">
    <font>
      <sz val="9"/>
      <name val="Genev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9"/>
      <name val="Geneva"/>
      <family val="2"/>
    </font>
    <font>
      <b/>
      <sz val="9"/>
      <name val="Geneva"/>
      <family val="2"/>
    </font>
    <font>
      <i/>
      <sz val="9"/>
      <name val="Geneva"/>
      <family val="2"/>
    </font>
    <font>
      <b/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165" fontId="2" fillId="0" borderId="0" xfId="1" applyNumberFormat="1" applyFont="1"/>
    <xf numFmtId="165" fontId="3" fillId="0" borderId="0" xfId="1" applyNumberFormat="1" applyFont="1" applyAlignment="1">
      <alignment horizontal="center"/>
    </xf>
    <xf numFmtId="165" fontId="2" fillId="0" borderId="1" xfId="1" applyNumberFormat="1" applyFont="1" applyBorder="1"/>
    <xf numFmtId="165" fontId="2" fillId="0" borderId="0" xfId="1" applyNumberFormat="1" applyFont="1" applyBorder="1"/>
    <xf numFmtId="1" fontId="2" fillId="2" borderId="1" xfId="1" applyNumberFormat="1" applyFont="1" applyFill="1" applyBorder="1"/>
    <xf numFmtId="2" fontId="2" fillId="0" borderId="1" xfId="0" applyNumberFormat="1" applyFont="1" applyBorder="1"/>
    <xf numFmtId="0" fontId="5" fillId="0" borderId="0" xfId="0" applyFont="1"/>
    <xf numFmtId="0" fontId="3" fillId="0" borderId="0" xfId="0" applyFont="1"/>
    <xf numFmtId="2" fontId="2" fillId="3" borderId="1" xfId="0" applyNumberFormat="1" applyFont="1" applyFill="1" applyBorder="1"/>
    <xf numFmtId="2" fontId="2" fillId="0" borderId="0" xfId="1" applyNumberFormat="1" applyFont="1"/>
    <xf numFmtId="165" fontId="0" fillId="0" borderId="0" xfId="0" applyNumberForma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2" fontId="2" fillId="4" borderId="1" xfId="0" applyNumberFormat="1" applyFont="1" applyFill="1" applyBorder="1"/>
    <xf numFmtId="0" fontId="2" fillId="0" borderId="1" xfId="0" applyFont="1" applyBorder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D37E-8F84-46C9-97D8-6290A557EE7F}">
  <dimension ref="A1:N28"/>
  <sheetViews>
    <sheetView zoomScale="150" zoomScaleNormal="150" workbookViewId="0">
      <selection activeCell="E24" sqref="E24"/>
    </sheetView>
  </sheetViews>
  <sheetFormatPr baseColWidth="10" defaultColWidth="8.83203125" defaultRowHeight="13" x14ac:dyDescent="0.2"/>
  <cols>
    <col min="1" max="1" width="12.5" customWidth="1"/>
    <col min="2" max="2" width="14.83203125" customWidth="1"/>
    <col min="9" max="9" width="13.5" customWidth="1"/>
    <col min="12" max="12" width="10" bestFit="1" customWidth="1"/>
  </cols>
  <sheetData>
    <row r="1" spans="1:14" ht="15" x14ac:dyDescent="0.2">
      <c r="A1" s="1" t="s">
        <v>23</v>
      </c>
      <c r="B1" s="2"/>
      <c r="C1" s="2"/>
      <c r="D1" s="2"/>
      <c r="E1" s="2"/>
      <c r="F1" s="3"/>
      <c r="G1" s="2"/>
    </row>
    <row r="2" spans="1:14" ht="15" x14ac:dyDescent="0.2">
      <c r="A2" s="1"/>
      <c r="B2" s="2"/>
      <c r="C2" s="2"/>
      <c r="D2" s="2"/>
      <c r="E2" s="2"/>
      <c r="F2" s="3"/>
      <c r="G2" s="2"/>
    </row>
    <row r="3" spans="1:14" ht="15" x14ac:dyDescent="0.2">
      <c r="A3" s="1" t="s">
        <v>3</v>
      </c>
      <c r="B3" s="2"/>
      <c r="C3" s="2"/>
      <c r="D3" s="2"/>
      <c r="E3" s="2"/>
      <c r="F3" s="3"/>
      <c r="G3" s="2"/>
      <c r="H3" s="1" t="s">
        <v>5</v>
      </c>
      <c r="I3" s="2"/>
      <c r="J3" s="2"/>
      <c r="K3" s="2"/>
      <c r="L3" s="2"/>
      <c r="M3" s="3"/>
      <c r="N3" s="2"/>
    </row>
    <row r="4" spans="1:14" ht="15" x14ac:dyDescent="0.2">
      <c r="A4" s="1"/>
      <c r="B4" s="2"/>
      <c r="C4" s="4" t="s">
        <v>15</v>
      </c>
      <c r="D4" s="2"/>
      <c r="E4" s="2"/>
      <c r="F4" s="3"/>
      <c r="G4" s="2"/>
      <c r="H4" s="5"/>
      <c r="I4" s="2"/>
      <c r="J4" s="4" t="s">
        <v>15</v>
      </c>
      <c r="K4" s="2"/>
      <c r="L4" s="2"/>
      <c r="M4" s="2"/>
      <c r="N4" s="2"/>
    </row>
    <row r="5" spans="1:14" s="2" customFormat="1" ht="15" x14ac:dyDescent="0.2">
      <c r="A5" s="1"/>
      <c r="B5" s="4" t="s">
        <v>16</v>
      </c>
      <c r="C5" s="3" t="s">
        <v>7</v>
      </c>
      <c r="D5" s="3" t="s">
        <v>8</v>
      </c>
      <c r="E5" s="3" t="s">
        <v>9</v>
      </c>
      <c r="F5" s="3" t="s">
        <v>10</v>
      </c>
      <c r="G5" s="4" t="s">
        <v>11</v>
      </c>
      <c r="H5" s="1"/>
      <c r="I5" s="4" t="s">
        <v>16</v>
      </c>
      <c r="J5" s="3" t="s">
        <v>7</v>
      </c>
      <c r="K5" s="3" t="s">
        <v>8</v>
      </c>
      <c r="L5" s="3" t="s">
        <v>9</v>
      </c>
      <c r="M5" s="3" t="s">
        <v>10</v>
      </c>
      <c r="N5" s="7" t="s">
        <v>18</v>
      </c>
    </row>
    <row r="6" spans="1:14" s="2" customFormat="1" ht="15" x14ac:dyDescent="0.2">
      <c r="A6" s="1"/>
      <c r="B6" s="3" t="s">
        <v>12</v>
      </c>
      <c r="C6" s="11">
        <v>0.6</v>
      </c>
      <c r="D6" s="11">
        <v>0.56000000000000005</v>
      </c>
      <c r="E6" s="11">
        <v>0.22</v>
      </c>
      <c r="F6" s="11">
        <v>0.4</v>
      </c>
      <c r="G6" s="6">
        <v>10000</v>
      </c>
      <c r="H6" s="1"/>
      <c r="I6" s="3" t="s">
        <v>12</v>
      </c>
      <c r="J6" s="10">
        <v>0</v>
      </c>
      <c r="K6" s="10">
        <v>0</v>
      </c>
      <c r="L6" s="10">
        <v>11999.999675353836</v>
      </c>
      <c r="M6" s="10">
        <v>3000.0002503423907</v>
      </c>
      <c r="N6" s="6">
        <f>SUM(J6:M6)</f>
        <v>14999.999925696227</v>
      </c>
    </row>
    <row r="7" spans="1:14" s="2" customFormat="1" ht="15" x14ac:dyDescent="0.2">
      <c r="A7" s="1"/>
      <c r="B7" s="3" t="s">
        <v>13</v>
      </c>
      <c r="C7" s="11">
        <v>0.36</v>
      </c>
      <c r="D7" s="11">
        <v>0.3</v>
      </c>
      <c r="E7" s="11">
        <v>0.28000000000000003</v>
      </c>
      <c r="F7" s="11">
        <v>0.57999999999999996</v>
      </c>
      <c r="G7" s="6">
        <v>15000</v>
      </c>
      <c r="H7" s="1"/>
      <c r="I7" s="3" t="s">
        <v>13</v>
      </c>
      <c r="J7" s="10">
        <v>8000</v>
      </c>
      <c r="K7" s="10">
        <v>10000</v>
      </c>
      <c r="L7" s="10">
        <v>0</v>
      </c>
      <c r="M7" s="10">
        <v>0</v>
      </c>
      <c r="N7" s="6">
        <f>SUM(J7:M7)</f>
        <v>18000</v>
      </c>
    </row>
    <row r="8" spans="1:14" s="2" customFormat="1" ht="15" x14ac:dyDescent="0.2">
      <c r="A8" s="1"/>
      <c r="B8" s="3" t="s">
        <v>14</v>
      </c>
      <c r="C8" s="11">
        <v>0.65</v>
      </c>
      <c r="D8" s="11">
        <v>0.68</v>
      </c>
      <c r="E8" s="11">
        <v>0.55000000000000004</v>
      </c>
      <c r="F8" s="11">
        <v>0.42</v>
      </c>
      <c r="G8" s="6">
        <v>15000</v>
      </c>
      <c r="H8" s="1"/>
      <c r="I8" s="3" t="s">
        <v>14</v>
      </c>
      <c r="J8" s="10">
        <v>0</v>
      </c>
      <c r="K8" s="10">
        <v>0</v>
      </c>
      <c r="L8" s="10">
        <v>0</v>
      </c>
      <c r="M8" s="10">
        <v>5999.9993457373712</v>
      </c>
      <c r="N8" s="6">
        <f>SUM(J8:M8)</f>
        <v>5999.9993457373712</v>
      </c>
    </row>
    <row r="9" spans="1:14" s="2" customFormat="1" ht="15" x14ac:dyDescent="0.2">
      <c r="A9" s="1"/>
      <c r="B9" s="4" t="s">
        <v>17</v>
      </c>
      <c r="C9" s="6">
        <v>8000</v>
      </c>
      <c r="D9" s="6">
        <v>10000</v>
      </c>
      <c r="E9" s="6">
        <v>12000</v>
      </c>
      <c r="F9" s="6">
        <v>9000</v>
      </c>
      <c r="G9" s="6"/>
      <c r="H9" s="1"/>
      <c r="I9" s="4" t="s">
        <v>19</v>
      </c>
      <c r="J9" s="6">
        <f>SUM(J6:J8)</f>
        <v>8000</v>
      </c>
      <c r="K9" s="6">
        <f>SUM(K6:K8)</f>
        <v>10000</v>
      </c>
      <c r="L9" s="6">
        <f>SUM(L6:L8)</f>
        <v>11999.999675353836</v>
      </c>
      <c r="M9" s="6">
        <f>SUM(M6:M8)</f>
        <v>8999.9995960797623</v>
      </c>
      <c r="N9" s="8">
        <f>SUM(N6:N8)</f>
        <v>38999.999271433597</v>
      </c>
    </row>
    <row r="10" spans="1:14" ht="15" x14ac:dyDescent="0.2">
      <c r="A10" s="1"/>
      <c r="B10" s="4"/>
      <c r="C10" s="6"/>
      <c r="D10" s="6"/>
      <c r="E10" s="6"/>
      <c r="F10" s="6"/>
      <c r="G10" s="9"/>
    </row>
    <row r="11" spans="1:14" ht="15" x14ac:dyDescent="0.2">
      <c r="A11" s="1"/>
      <c r="B11" s="4" t="s">
        <v>25</v>
      </c>
      <c r="C11" s="15">
        <v>5000</v>
      </c>
      <c r="D11" s="6"/>
      <c r="E11" s="6"/>
      <c r="F11" s="6"/>
      <c r="G11" s="9"/>
    </row>
    <row r="12" spans="1:14" ht="15" x14ac:dyDescent="0.2">
      <c r="A12" s="1"/>
      <c r="B12" s="4" t="s">
        <v>24</v>
      </c>
      <c r="C12" s="15">
        <v>1.5</v>
      </c>
      <c r="D12" s="6"/>
      <c r="E12" s="6"/>
      <c r="F12" s="6"/>
      <c r="G12" s="9"/>
    </row>
    <row r="13" spans="1:14" ht="15" x14ac:dyDescent="0.2">
      <c r="A13" s="1"/>
      <c r="B13" s="4"/>
      <c r="C13" s="6"/>
      <c r="D13" s="6"/>
      <c r="E13" s="6"/>
      <c r="F13" s="6"/>
      <c r="G13" s="9"/>
    </row>
    <row r="14" spans="1:14" ht="15" x14ac:dyDescent="0.2">
      <c r="A14" s="1" t="s">
        <v>6</v>
      </c>
      <c r="B14" s="2"/>
      <c r="C14" s="2"/>
      <c r="D14" s="2"/>
      <c r="E14" s="4"/>
      <c r="F14" s="4"/>
      <c r="G14" s="2"/>
      <c r="I14" s="12" t="s">
        <v>0</v>
      </c>
    </row>
    <row r="15" spans="1:14" ht="15" x14ac:dyDescent="0.2">
      <c r="A15" s="13" t="s">
        <v>21</v>
      </c>
      <c r="B15" s="4" t="s">
        <v>16</v>
      </c>
      <c r="C15" s="3" t="s">
        <v>7</v>
      </c>
      <c r="D15" s="3" t="s">
        <v>8</v>
      </c>
      <c r="E15" s="3" t="s">
        <v>9</v>
      </c>
      <c r="F15" s="3" t="s">
        <v>10</v>
      </c>
      <c r="G15" s="13" t="s">
        <v>22</v>
      </c>
      <c r="J15" s="17" t="s">
        <v>1</v>
      </c>
      <c r="L15" s="17" t="s">
        <v>2</v>
      </c>
    </row>
    <row r="16" spans="1:14" ht="15" x14ac:dyDescent="0.2">
      <c r="A16" s="5"/>
      <c r="B16" s="3" t="s">
        <v>12</v>
      </c>
      <c r="C16" s="11">
        <f>C6*J6</f>
        <v>0</v>
      </c>
      <c r="D16" s="11">
        <f t="shared" ref="D16:F16" si="0">D6*K6</f>
        <v>0</v>
      </c>
      <c r="E16" s="11">
        <f t="shared" si="0"/>
        <v>2639.999928577844</v>
      </c>
      <c r="F16" s="11">
        <f t="shared" si="0"/>
        <v>1200.0001001369562</v>
      </c>
      <c r="G16" s="2">
        <f>IF(N6&gt;G6,$C$11,0)</f>
        <v>5000</v>
      </c>
      <c r="I16" s="13" t="s">
        <v>26</v>
      </c>
      <c r="J16" s="16">
        <f>N6</f>
        <v>14999.999925696227</v>
      </c>
      <c r="K16" s="18" t="s">
        <v>4</v>
      </c>
      <c r="L16" s="19">
        <f>C12*G6</f>
        <v>15000</v>
      </c>
    </row>
    <row r="17" spans="1:12" ht="15" x14ac:dyDescent="0.2">
      <c r="A17" s="5"/>
      <c r="B17" s="3" t="s">
        <v>13</v>
      </c>
      <c r="C17" s="11">
        <f t="shared" ref="C17:F17" si="1">C7*J7</f>
        <v>2880</v>
      </c>
      <c r="D17" s="11">
        <f t="shared" si="1"/>
        <v>3000</v>
      </c>
      <c r="E17" s="11">
        <f t="shared" si="1"/>
        <v>0</v>
      </c>
      <c r="F17" s="11">
        <f t="shared" si="1"/>
        <v>0</v>
      </c>
      <c r="G17" s="2">
        <f t="shared" ref="G17:G18" si="2">IF(N7&gt;G7,$C$11,0)</f>
        <v>5000</v>
      </c>
      <c r="J17" s="16">
        <f t="shared" ref="J17:J18" si="3">N7</f>
        <v>18000</v>
      </c>
      <c r="K17" s="18" t="s">
        <v>4</v>
      </c>
      <c r="L17" s="19">
        <f>C12*G7</f>
        <v>22500</v>
      </c>
    </row>
    <row r="18" spans="1:12" ht="15" x14ac:dyDescent="0.2">
      <c r="A18" s="1"/>
      <c r="B18" s="3" t="s">
        <v>14</v>
      </c>
      <c r="C18" s="11">
        <f t="shared" ref="C18:F18" si="4">C8*J8</f>
        <v>0</v>
      </c>
      <c r="D18" s="11">
        <f t="shared" si="4"/>
        <v>0</v>
      </c>
      <c r="E18" s="11">
        <f t="shared" si="4"/>
        <v>0</v>
      </c>
      <c r="F18" s="11">
        <f t="shared" si="4"/>
        <v>2519.999725209696</v>
      </c>
      <c r="G18" s="2">
        <f t="shared" si="2"/>
        <v>0</v>
      </c>
      <c r="J18" s="16">
        <f t="shared" si="3"/>
        <v>5999.9993457373712</v>
      </c>
      <c r="K18" s="18" t="s">
        <v>4</v>
      </c>
      <c r="L18" s="19">
        <f>C12*G8</f>
        <v>22500</v>
      </c>
    </row>
    <row r="19" spans="1:12" ht="15" x14ac:dyDescent="0.2">
      <c r="A19" s="13"/>
      <c r="B19" s="2"/>
      <c r="C19" s="2"/>
      <c r="D19" s="2"/>
      <c r="E19" s="4"/>
      <c r="F19" s="4"/>
      <c r="G19" s="4"/>
      <c r="H19" s="4"/>
      <c r="I19" s="4"/>
    </row>
    <row r="20" spans="1:12" ht="15" x14ac:dyDescent="0.2">
      <c r="A20" s="5"/>
      <c r="B20" s="13" t="s">
        <v>21</v>
      </c>
      <c r="C20" s="20">
        <f>SUM(C16:F18)</f>
        <v>12239.999753924496</v>
      </c>
      <c r="D20" s="2"/>
      <c r="E20" s="2"/>
      <c r="F20" s="2"/>
      <c r="G20" s="2"/>
      <c r="H20" s="3"/>
      <c r="I20" s="2"/>
    </row>
    <row r="21" spans="1:12" ht="15" x14ac:dyDescent="0.2">
      <c r="A21" s="5"/>
      <c r="B21" s="13" t="s">
        <v>27</v>
      </c>
      <c r="C21" s="21">
        <f>SUM(G16:G18)</f>
        <v>10000</v>
      </c>
      <c r="D21" s="2"/>
      <c r="E21" s="2"/>
      <c r="F21" s="2"/>
      <c r="G21" s="2"/>
      <c r="H21" s="3"/>
      <c r="I21" s="2"/>
    </row>
    <row r="22" spans="1:12" ht="15" x14ac:dyDescent="0.2">
      <c r="A22" s="5"/>
      <c r="B22" s="13" t="s">
        <v>20</v>
      </c>
      <c r="C22" s="14">
        <f>SUM(C20:C21)</f>
        <v>22239.999753924494</v>
      </c>
      <c r="D22" s="2"/>
      <c r="E22" s="2"/>
      <c r="F22" s="2"/>
      <c r="G22" s="2"/>
      <c r="H22" s="3"/>
      <c r="I22" s="2"/>
    </row>
    <row r="23" spans="1:12" ht="15" x14ac:dyDescent="0.2">
      <c r="A23" s="5"/>
      <c r="B23" s="2"/>
      <c r="C23" s="2"/>
      <c r="D23" s="2"/>
      <c r="E23" s="2"/>
      <c r="F23" s="2"/>
      <c r="G23" s="2"/>
      <c r="H23" s="3"/>
      <c r="I23" s="2"/>
    </row>
    <row r="24" spans="1:12" ht="15" x14ac:dyDescent="0.2">
      <c r="A24" s="5"/>
      <c r="B24" s="2"/>
      <c r="G24" s="2"/>
      <c r="H24" s="3"/>
      <c r="I24" s="2"/>
    </row>
    <row r="25" spans="1:12" ht="15" x14ac:dyDescent="0.2">
      <c r="A25" s="5"/>
      <c r="B25" s="2"/>
      <c r="C25" s="2"/>
      <c r="G25" s="2"/>
      <c r="H25" s="3"/>
      <c r="I25" s="2"/>
    </row>
    <row r="26" spans="1:12" ht="15" x14ac:dyDescent="0.2">
      <c r="A26" s="5"/>
      <c r="B26" s="2"/>
      <c r="D26" s="2"/>
      <c r="G26" s="2"/>
      <c r="H26" s="3"/>
      <c r="I26" s="2"/>
    </row>
    <row r="27" spans="1:12" ht="15" x14ac:dyDescent="0.2">
      <c r="A27" s="5"/>
      <c r="B27" s="2"/>
      <c r="G27" s="2"/>
      <c r="H27" s="3"/>
      <c r="I27" s="2"/>
    </row>
    <row r="28" spans="1:12" ht="15" x14ac:dyDescent="0.2">
      <c r="A28" s="5"/>
      <c r="B28" s="2"/>
      <c r="G28" s="2"/>
      <c r="H28" s="3"/>
      <c r="I28" s="2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3DE85-6A7D-684E-83EA-B1D7B75AB597}">
  <dimension ref="A4:H36"/>
  <sheetViews>
    <sheetView tabSelected="1" workbookViewId="0">
      <selection activeCell="A22" sqref="A22"/>
    </sheetView>
  </sheetViews>
  <sheetFormatPr baseColWidth="10" defaultRowHeight="13" x14ac:dyDescent="0.2"/>
  <cols>
    <col min="1" max="1" width="15.5" customWidth="1"/>
    <col min="6" max="6" width="13.6640625" bestFit="1" customWidth="1"/>
  </cols>
  <sheetData>
    <row r="4" spans="1:8" x14ac:dyDescent="0.2">
      <c r="B4" s="22"/>
      <c r="C4" s="22"/>
      <c r="D4" s="22"/>
      <c r="E4" s="22"/>
    </row>
    <row r="6" spans="1:8" x14ac:dyDescent="0.2">
      <c r="A6" s="22" t="s">
        <v>3</v>
      </c>
    </row>
    <row r="7" spans="1:8" x14ac:dyDescent="0.2">
      <c r="A7" s="22" t="s">
        <v>40</v>
      </c>
      <c r="B7">
        <v>35.5</v>
      </c>
      <c r="C7">
        <v>37.5</v>
      </c>
      <c r="D7">
        <v>37.25</v>
      </c>
      <c r="E7">
        <v>36.25</v>
      </c>
    </row>
    <row r="9" spans="1:8" x14ac:dyDescent="0.2">
      <c r="B9" s="22" t="s">
        <v>28</v>
      </c>
      <c r="C9" s="22" t="s">
        <v>29</v>
      </c>
      <c r="D9" s="22" t="s">
        <v>30</v>
      </c>
      <c r="E9" s="22" t="s">
        <v>31</v>
      </c>
      <c r="H9" s="22" t="s">
        <v>17</v>
      </c>
    </row>
    <row r="10" spans="1:8" x14ac:dyDescent="0.2">
      <c r="A10" s="22" t="s">
        <v>32</v>
      </c>
      <c r="B10">
        <v>0</v>
      </c>
      <c r="C10">
        <v>0</v>
      </c>
      <c r="D10">
        <v>0</v>
      </c>
      <c r="E10">
        <v>5500</v>
      </c>
      <c r="F10">
        <f>SUM(B10:E10)</f>
        <v>5500</v>
      </c>
      <c r="G10" s="22" t="s">
        <v>39</v>
      </c>
      <c r="H10" s="22">
        <v>5500</v>
      </c>
    </row>
    <row r="11" spans="1:8" x14ac:dyDescent="0.2">
      <c r="A11" s="22" t="s">
        <v>33</v>
      </c>
      <c r="B11">
        <v>0</v>
      </c>
      <c r="C11">
        <v>0</v>
      </c>
      <c r="D11">
        <v>0</v>
      </c>
      <c r="E11">
        <v>11500</v>
      </c>
      <c r="F11">
        <f>SUM(B11:E11)</f>
        <v>11500</v>
      </c>
      <c r="G11" s="22" t="s">
        <v>39</v>
      </c>
      <c r="H11" s="22">
        <v>11500</v>
      </c>
    </row>
    <row r="12" spans="1:8" x14ac:dyDescent="0.2">
      <c r="A12" s="22" t="s">
        <v>34</v>
      </c>
      <c r="B12">
        <v>0</v>
      </c>
      <c r="C12">
        <v>0</v>
      </c>
      <c r="D12">
        <v>7500</v>
      </c>
      <c r="E12">
        <v>3000</v>
      </c>
      <c r="F12">
        <f>SUM(B12:E12)</f>
        <v>10500</v>
      </c>
      <c r="G12" s="22" t="s">
        <v>39</v>
      </c>
      <c r="H12" s="22">
        <v>10500</v>
      </c>
    </row>
    <row r="13" spans="1:8" x14ac:dyDescent="0.2">
      <c r="A13" s="22" t="s">
        <v>35</v>
      </c>
      <c r="B13">
        <v>0</v>
      </c>
      <c r="C13">
        <v>0</v>
      </c>
      <c r="D13">
        <v>9600</v>
      </c>
      <c r="E13">
        <v>0</v>
      </c>
      <c r="F13">
        <f>SUM(B13:E13)</f>
        <v>9600</v>
      </c>
      <c r="G13" s="22" t="s">
        <v>39</v>
      </c>
      <c r="H13" s="22">
        <v>9600</v>
      </c>
    </row>
    <row r="14" spans="1:8" x14ac:dyDescent="0.2">
      <c r="A14" s="22" t="s">
        <v>36</v>
      </c>
      <c r="B14">
        <v>0</v>
      </c>
      <c r="C14">
        <v>15000</v>
      </c>
      <c r="D14">
        <v>400</v>
      </c>
      <c r="E14">
        <v>0</v>
      </c>
      <c r="F14">
        <f>SUM(B14:E14)</f>
        <v>15400</v>
      </c>
      <c r="G14" s="22" t="s">
        <v>39</v>
      </c>
      <c r="H14" s="22">
        <v>15400</v>
      </c>
    </row>
    <row r="15" spans="1:8" x14ac:dyDescent="0.2">
      <c r="A15" s="22" t="s">
        <v>37</v>
      </c>
      <c r="B15">
        <v>12500</v>
      </c>
      <c r="C15">
        <v>0</v>
      </c>
      <c r="D15">
        <v>0</v>
      </c>
      <c r="E15">
        <v>0</v>
      </c>
      <c r="F15">
        <f>SUM(B15:E15)</f>
        <v>12500</v>
      </c>
      <c r="G15" s="22" t="s">
        <v>39</v>
      </c>
      <c r="H15" s="22">
        <v>12500</v>
      </c>
    </row>
    <row r="16" spans="1:8" x14ac:dyDescent="0.2">
      <c r="A16" s="22" t="s">
        <v>38</v>
      </c>
      <c r="B16">
        <v>5500</v>
      </c>
      <c r="C16">
        <v>0</v>
      </c>
      <c r="D16">
        <v>1100</v>
      </c>
      <c r="E16">
        <v>0</v>
      </c>
      <c r="F16">
        <f>SUM(B16:E16)</f>
        <v>6600</v>
      </c>
      <c r="G16" s="22" t="s">
        <v>39</v>
      </c>
      <c r="H16" s="22">
        <v>6600</v>
      </c>
    </row>
    <row r="17" spans="1:8" x14ac:dyDescent="0.2">
      <c r="B17">
        <f>SUM(B10:B16)</f>
        <v>18000</v>
      </c>
      <c r="C17">
        <f>SUM(C10:C16)</f>
        <v>15000</v>
      </c>
      <c r="D17">
        <f>SUM(D10:D16)</f>
        <v>18600</v>
      </c>
      <c r="E17">
        <f>SUM(E10:E16)</f>
        <v>20000</v>
      </c>
    </row>
    <row r="18" spans="1:8" x14ac:dyDescent="0.2">
      <c r="A18" s="22" t="s">
        <v>4</v>
      </c>
      <c r="B18" s="22" t="s">
        <v>4</v>
      </c>
      <c r="C18" s="22" t="s">
        <v>4</v>
      </c>
      <c r="D18" s="22" t="s">
        <v>4</v>
      </c>
      <c r="E18" s="22" t="s">
        <v>4</v>
      </c>
    </row>
    <row r="19" spans="1:8" x14ac:dyDescent="0.2">
      <c r="A19" s="22" t="s">
        <v>11</v>
      </c>
      <c r="B19">
        <v>18000</v>
      </c>
      <c r="C19">
        <v>15000</v>
      </c>
      <c r="D19">
        <v>25000</v>
      </c>
      <c r="E19">
        <v>20000</v>
      </c>
    </row>
    <row r="22" spans="1:8" x14ac:dyDescent="0.2">
      <c r="A22" s="22" t="s">
        <v>5</v>
      </c>
    </row>
    <row r="23" spans="1:8" x14ac:dyDescent="0.2">
      <c r="B23" s="22" t="s">
        <v>28</v>
      </c>
      <c r="C23" s="22" t="s">
        <v>29</v>
      </c>
      <c r="D23" s="22" t="s">
        <v>30</v>
      </c>
      <c r="E23" s="22" t="s">
        <v>31</v>
      </c>
      <c r="H23" s="22" t="s">
        <v>17</v>
      </c>
    </row>
    <row r="24" spans="1:8" x14ac:dyDescent="0.2">
      <c r="A24" s="22" t="s">
        <v>32</v>
      </c>
      <c r="B24">
        <v>2.5</v>
      </c>
      <c r="C24">
        <v>1.85</v>
      </c>
      <c r="D24">
        <v>2.2999999999999998</v>
      </c>
      <c r="E24">
        <v>1.9</v>
      </c>
      <c r="G24" s="22" t="s">
        <v>39</v>
      </c>
      <c r="H24" s="22">
        <v>5500</v>
      </c>
    </row>
    <row r="25" spans="1:8" x14ac:dyDescent="0.2">
      <c r="A25" s="22" t="s">
        <v>33</v>
      </c>
      <c r="B25">
        <v>2.75</v>
      </c>
      <c r="C25">
        <v>1.9</v>
      </c>
      <c r="D25">
        <v>2.25</v>
      </c>
      <c r="E25">
        <v>0.9</v>
      </c>
      <c r="G25" s="22" t="s">
        <v>39</v>
      </c>
      <c r="H25" s="22">
        <v>11500</v>
      </c>
    </row>
    <row r="26" spans="1:8" x14ac:dyDescent="0.2">
      <c r="A26" s="22" t="s">
        <v>34</v>
      </c>
      <c r="B26">
        <v>1.75</v>
      </c>
      <c r="C26">
        <v>1.5</v>
      </c>
      <c r="D26">
        <v>1.85</v>
      </c>
      <c r="E26">
        <v>1.6</v>
      </c>
      <c r="G26" s="22" t="s">
        <v>39</v>
      </c>
      <c r="H26" s="22">
        <v>10500</v>
      </c>
    </row>
    <row r="27" spans="1:8" x14ac:dyDescent="0.2">
      <c r="A27" s="22" t="s">
        <v>35</v>
      </c>
      <c r="B27">
        <v>2</v>
      </c>
      <c r="C27">
        <v>1.6</v>
      </c>
      <c r="D27">
        <v>1.25</v>
      </c>
      <c r="E27">
        <v>1.75</v>
      </c>
      <c r="G27" s="22" t="s">
        <v>39</v>
      </c>
      <c r="H27" s="22">
        <v>9600</v>
      </c>
    </row>
    <row r="28" spans="1:8" x14ac:dyDescent="0.2">
      <c r="A28" s="22" t="s">
        <v>36</v>
      </c>
      <c r="B28">
        <v>2.1</v>
      </c>
      <c r="C28">
        <v>1</v>
      </c>
      <c r="D28">
        <v>1.5</v>
      </c>
      <c r="E28">
        <v>2</v>
      </c>
      <c r="G28" s="22" t="s">
        <v>39</v>
      </c>
      <c r="H28" s="22">
        <v>15400</v>
      </c>
    </row>
    <row r="29" spans="1:8" x14ac:dyDescent="0.2">
      <c r="A29" s="22" t="s">
        <v>37</v>
      </c>
      <c r="B29">
        <v>1.8</v>
      </c>
      <c r="C29">
        <v>1.9</v>
      </c>
      <c r="D29">
        <v>2.25</v>
      </c>
      <c r="E29">
        <v>2.5</v>
      </c>
      <c r="G29" s="22" t="s">
        <v>39</v>
      </c>
      <c r="H29" s="22">
        <v>12500</v>
      </c>
    </row>
    <row r="30" spans="1:8" x14ac:dyDescent="0.2">
      <c r="A30" s="22" t="s">
        <v>38</v>
      </c>
      <c r="B30">
        <v>1.65</v>
      </c>
      <c r="C30">
        <v>1.85</v>
      </c>
      <c r="D30">
        <v>2</v>
      </c>
      <c r="E30">
        <v>2.65</v>
      </c>
      <c r="G30" s="22" t="s">
        <v>39</v>
      </c>
      <c r="H30" s="22">
        <v>6600</v>
      </c>
    </row>
    <row r="34" spans="1:2" x14ac:dyDescent="0.2">
      <c r="A34" s="22" t="s">
        <v>41</v>
      </c>
      <c r="B34">
        <f>SUMPRODUCT(B17:E17,B7:E7)</f>
        <v>2619350</v>
      </c>
    </row>
    <row r="35" spans="1:2" x14ac:dyDescent="0.2">
      <c r="A35" s="22" t="s">
        <v>42</v>
      </c>
      <c r="B35">
        <f>SUMPRODUCT(B10:E16,B24:E30)</f>
        <v>100850</v>
      </c>
    </row>
    <row r="36" spans="1:2" x14ac:dyDescent="0.2">
      <c r="A36" s="22" t="s">
        <v>43</v>
      </c>
      <c r="B36">
        <f>SUM(B34:B35)</f>
        <v>2720200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3.1 (adapted)</vt:lpstr>
      <vt:lpstr>Example 3.4</vt:lpstr>
    </vt:vector>
  </TitlesOfParts>
  <Company>The Tuck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Baker</dc:creator>
  <cp:lastModifiedBy>Mina Moeini</cp:lastModifiedBy>
  <dcterms:created xsi:type="dcterms:W3CDTF">2000-12-18T18:46:17Z</dcterms:created>
  <dcterms:modified xsi:type="dcterms:W3CDTF">2025-01-26T23:49:52Z</dcterms:modified>
</cp:coreProperties>
</file>